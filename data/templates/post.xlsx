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ต.ค.68" sheetId="1" state="visible" r:id="rId3"/>
    <sheet name="พ.ย.68" sheetId="2" state="visible" r:id="rId4"/>
    <sheet name="ธ.ค. 68" sheetId="3" state="visible" r:id="rId5"/>
    <sheet name="ม.ค. 69" sheetId="4" state="visible" r:id="rId6"/>
    <sheet name="ก.พ. 69" sheetId="5" state="visible" r:id="rId7"/>
    <sheet name="มี.ค. 69" sheetId="6" state="visible" r:id="rId8"/>
    <sheet name="เม.ย. 69" sheetId="7" state="visible" r:id="rId9"/>
    <sheet name="พ.ค.69" sheetId="8" state="visible" r:id="rId10"/>
    <sheet name="มิ.ย.69" sheetId="9" state="visible" r:id="rId11"/>
    <sheet name="ก.ค.69" sheetId="10" state="visible" r:id="rId12"/>
    <sheet name="ส.ค.69" sheetId="11" state="visible" r:id="rId13"/>
    <sheet name="ก.ย.69" sheetId="12" state="visible" r:id="rId14"/>
    <sheet name="สรุปยอด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<sst xmlns="http://schemas.openxmlformats.org/spreadsheetml/2006/main" count="2023" uniqueCount="957">
  <si>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รายงานการรับชำระค่าธรรมเนียมผ่านไปรษณีย์ เดือน ตุลาคม </t>
    </r>
    <r>
      <rPr>
        <b val="true"/>
        <sz val="18"/>
        <color theme="1"/>
        <rFont val="TH SarabunPSK"/>
        <family val="0"/>
        <charset val="1"/>
      </rPr>
      <t xml:space="preserve">2568</t>
    </r>
  </si>
  <si>
    <t xml:space="preserve">วันที่ชำระ</t>
  </si>
  <si>
    <r>
      <rPr>
        <b val="true"/>
        <sz val="16"/>
        <color theme="1"/>
        <rFont val="Arial"/>
        <family val="0"/>
        <charset val="1"/>
      </rPr>
      <t xml:space="preserve">ระบบ </t>
    </r>
    <r>
      <rPr>
        <b val="true"/>
        <sz val="16"/>
        <color theme="1"/>
        <rFont val="TH SarabunPSK"/>
        <family val="0"/>
        <charset val="1"/>
      </rPr>
      <t xml:space="preserve">Receipt  (</t>
    </r>
    <r>
      <rPr>
        <b val="true"/>
        <sz val="16"/>
        <color theme="1"/>
        <rFont val="Arial"/>
        <family val="0"/>
        <charset val="1"/>
      </rPr>
      <t xml:space="preserve">ใบเสร็จรับเงิน </t>
    </r>
    <r>
      <rPr>
        <b val="true"/>
        <sz val="16"/>
        <color theme="1"/>
        <rFont val="TH SarabunPSK"/>
        <family val="0"/>
        <charset val="1"/>
      </rPr>
      <t xml:space="preserve">A4)</t>
    </r>
  </si>
  <si>
    <r>
      <rPr>
        <b val="true"/>
        <sz val="16"/>
        <color theme="1"/>
        <rFont val="Arial"/>
        <family val="0"/>
        <charset val="1"/>
      </rPr>
      <t xml:space="preserve">ระบบ </t>
    </r>
    <r>
      <rPr>
        <b val="true"/>
        <sz val="16"/>
        <color theme="1"/>
        <rFont val="TH SarabunPSK"/>
        <family val="0"/>
        <charset val="1"/>
      </rPr>
      <t xml:space="preserve">App (</t>
    </r>
    <r>
      <rPr>
        <b val="true"/>
        <sz val="16"/>
        <color theme="1"/>
        <rFont val="Arial"/>
        <family val="0"/>
        <charset val="1"/>
      </rPr>
      <t xml:space="preserve">ใบเสร็จรับเงิน </t>
    </r>
    <r>
      <rPr>
        <b val="true"/>
        <sz val="16"/>
        <color theme="1"/>
        <rFont val="TH SarabunPSK"/>
        <family val="0"/>
        <charset val="1"/>
      </rPr>
      <t xml:space="preserve">A5)</t>
    </r>
  </si>
  <si>
    <r>
      <rPr>
        <b val="true"/>
        <sz val="16"/>
        <color theme="1"/>
        <rFont val="Arial"/>
        <family val="0"/>
        <charset val="1"/>
      </rPr>
      <t xml:space="preserve">ระบบ </t>
    </r>
    <r>
      <rPr>
        <b val="true"/>
        <sz val="16"/>
        <color theme="1"/>
        <rFont val="TH SarabunPSK"/>
        <family val="0"/>
        <charset val="1"/>
      </rPr>
      <t xml:space="preserve">Trade</t>
    </r>
  </si>
  <si>
    <r>
      <rPr>
        <b val="true"/>
        <sz val="16"/>
        <color theme="1"/>
        <rFont val="Arial"/>
        <family val="0"/>
        <charset val="1"/>
      </rPr>
      <t xml:space="preserve">นำรายได้ ส่ง กค</t>
    </r>
    <r>
      <rPr>
        <b val="true"/>
        <sz val="16"/>
        <color theme="1"/>
        <rFont val="TH SarabunPSK"/>
        <family val="0"/>
        <charset val="1"/>
      </rPr>
      <t xml:space="preserve">.
 </t>
    </r>
    <r>
      <rPr>
        <b val="true"/>
        <sz val="16"/>
        <color theme="1"/>
        <rFont val="Arial"/>
        <family val="0"/>
        <charset val="1"/>
      </rPr>
      <t xml:space="preserve">พรบ</t>
    </r>
    <r>
      <rPr>
        <b val="true"/>
        <sz val="16"/>
        <color theme="1"/>
        <rFont val="TH SarabunPSK"/>
        <family val="0"/>
        <charset val="1"/>
      </rPr>
      <t xml:space="preserve">.42 + </t>
    </r>
    <r>
      <rPr>
        <b val="true"/>
        <sz val="16"/>
        <color theme="1"/>
        <rFont val="Arial"/>
        <family val="0"/>
        <charset val="1"/>
      </rPr>
      <t xml:space="preserve">พรบ</t>
    </r>
    <r>
      <rPr>
        <b val="true"/>
        <sz val="16"/>
        <color theme="1"/>
        <rFont val="TH SarabunPSK"/>
        <family val="0"/>
        <charset val="1"/>
      </rPr>
      <t xml:space="preserve">.43 </t>
    </r>
  </si>
  <si>
    <t xml:space="preserve">หมายเหตุ</t>
  </si>
  <si>
    <r>
      <rPr>
        <b val="true"/>
        <sz val="16"/>
        <color theme="1"/>
        <rFont val="Arial"/>
        <family val="0"/>
        <charset val="1"/>
      </rPr>
      <t xml:space="preserve">พน</t>
    </r>
    <r>
      <rPr>
        <b val="true"/>
        <sz val="16"/>
        <color theme="1"/>
        <rFont val="TH SarabunPSK"/>
        <family val="0"/>
        <charset val="1"/>
      </rPr>
      <t xml:space="preserve">0401.1/</t>
    </r>
  </si>
  <si>
    <t xml:space="preserve">วันที่ส่ง</t>
  </si>
  <si>
    <t xml:space="preserve">จาก</t>
  </si>
  <si>
    <t xml:space="preserve">ถึง</t>
  </si>
  <si>
    <t xml:space="preserve">จำนวนใบเสร็จ</t>
  </si>
  <si>
    <t xml:space="preserve">จำนวนเงิน</t>
  </si>
  <si>
    <r>
      <rPr>
        <b val="true"/>
        <sz val="16"/>
        <color theme="1"/>
        <rFont val="Arial"/>
        <family val="0"/>
        <charset val="1"/>
      </rPr>
      <t xml:space="preserve">ยกเลิก</t>
    </r>
    <r>
      <rPr>
        <b val="true"/>
        <sz val="16"/>
        <color theme="1"/>
        <rFont val="TH SarabunPSK"/>
        <family val="0"/>
        <charset val="1"/>
      </rPr>
      <t xml:space="preserve">/</t>
    </r>
    <r>
      <rPr>
        <b val="true"/>
        <sz val="16"/>
        <color theme="1"/>
        <rFont val="Arial"/>
        <family val="0"/>
        <charset val="1"/>
      </rPr>
      <t xml:space="preserve">ใบเสร็จเสีย</t>
    </r>
  </si>
  <si>
    <t xml:space="preserve">หมายเลขเล่ม</t>
  </si>
  <si>
    <t xml:space="preserve">ยกเลิกใบเสร็จ</t>
  </si>
  <si>
    <t xml:space="preserve">รวมจำนวนใบเสร็จ</t>
  </si>
  <si>
    <t xml:space="preserve">รวมจำนวนเงิน</t>
  </si>
  <si>
    <t xml:space="preserve">เลขที่ใบเสร็จ</t>
  </si>
  <si>
    <r>
      <rPr>
        <sz val="16"/>
        <color theme="1"/>
        <rFont val="TH SarabunPSK"/>
        <family val="0"/>
        <charset val="1"/>
      </rPr>
      <t xml:space="preserve">1-2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</si>
  <si>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2569/00003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</si>
  <si>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2569/00011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</si>
  <si>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2569/00004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</si>
  <si>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69/00009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</si>
  <si>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69/00019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</si>
  <si>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</si>
  <si>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3-5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</si>
  <si>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2569/00012</t>
    </r>
  </si>
  <si>
    <t xml:space="preserve">-</t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</si>
  <si>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69/00020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</si>
  <si>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69/00022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</si>
  <si>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</si>
  <si>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69/00023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</si>
  <si>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</si>
  <si>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2569/00013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</si>
  <si>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2569/00014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</si>
  <si>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69/00024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</si>
  <si>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</si>
  <si>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2569/00015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</si>
  <si>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69/00025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</si>
  <si>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69/00027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</si>
  <si>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</si>
  <si>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69/00028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</si>
  <si>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</si>
  <si>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10-13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</si>
  <si>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2569/00016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</si>
  <si>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69/00029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</si>
  <si>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</si>
  <si>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69/00030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</si>
  <si>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69/00032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</si>
  <si>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</si>
  <si>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2569/00017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</si>
  <si>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2569/00019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</si>
  <si>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69/00033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</si>
  <si>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</si>
  <si>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2569/00020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</si>
  <si>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69/00034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</si>
  <si>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</si>
  <si>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17-19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</si>
  <si>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2569/00021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</si>
  <si>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2569/00023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</si>
  <si>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</si>
  <si>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69/00035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</si>
  <si>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69/00038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</si>
  <si>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</si>
  <si>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2569/00024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</si>
  <si>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69/00039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</si>
  <si>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69/00040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</si>
  <si>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</si>
  <si>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22-23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</si>
  <si>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69/00041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</si>
  <si>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69/00045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</si>
  <si>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</si>
  <si>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24-26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</si>
  <si>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2569/00025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</si>
  <si>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2569/00026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</si>
  <si>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69/00046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</si>
  <si>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69/00051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</si>
  <si>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</si>
  <si>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2569/00027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</si>
  <si>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2569/00028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</si>
  <si>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</si>
  <si>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</si>
  <si>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2569/00029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</si>
  <si>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</si>
  <si>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</si>
  <si>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2569/00030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</si>
  <si>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69/00052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</si>
  <si>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</si>
  <si>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</si>
  <si>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2569/00031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</si>
  <si>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2569/00033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</si>
  <si>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69/00053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</si>
  <si>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69/00055</t>
    </r>
  </si>
  <si>
    <r>
      <rPr>
        <sz val="16"/>
        <color theme="1"/>
        <rFont val="TH SarabunPSK"/>
        <family val="0"/>
        <charset val="1"/>
      </rPr>
      <t xml:space="preserve">31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</si>
  <si>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31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</si>
  <si>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t xml:space="preserve">รวม</t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</si>
  <si>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รายงานการรับชำระค่าธรรมเนียมผ่านไปรษณีย์ เดือน พฤศจิกายน </t>
    </r>
    <r>
      <rPr>
        <b val="true"/>
        <sz val="18"/>
        <color theme="1"/>
        <rFont val="TH SarabunPSK"/>
        <family val="0"/>
        <charset val="1"/>
      </rPr>
      <t xml:space="preserve">2568</t>
    </r>
  </si>
  <si>
    <r>
      <rPr>
        <sz val="16"/>
        <color theme="1"/>
        <rFont val="TH SarabunPSK"/>
        <family val="0"/>
        <charset val="1"/>
      </rPr>
      <t xml:space="preserve">31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.-2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</si>
  <si>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69/00056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</si>
  <si>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69/00057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</si>
  <si>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</si>
  <si>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2569/00038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</si>
  <si>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2569/00041</t>
    </r>
  </si>
  <si>
    <r>
      <rPr>
        <sz val="15"/>
        <color theme="1"/>
        <rFont val="Arial"/>
        <family val="0"/>
        <charset val="1"/>
      </rPr>
      <t xml:space="preserve">ป </t>
    </r>
    <r>
      <rPr>
        <sz val="15"/>
        <color theme="1"/>
        <rFont val="TH SarabunPSK"/>
        <family val="0"/>
        <charset val="1"/>
      </rPr>
      <t xml:space="preserve">2569/00034 - 00037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</si>
  <si>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</si>
  <si>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69/00058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</si>
  <si>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69/00059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</si>
  <si>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</si>
  <si>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</si>
  <si>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2569/00042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</si>
  <si>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2569/00043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</si>
  <si>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69/00060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</si>
  <si>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</si>
  <si>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7 - 9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</si>
  <si>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2569/00044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</si>
  <si>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69/00061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</si>
  <si>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69/00062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</si>
  <si>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</si>
  <si>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2569/00045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</si>
  <si>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2569/00046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</si>
  <si>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69/00063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</si>
  <si>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</si>
  <si>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2569/00047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</si>
  <si>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69/00064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</si>
  <si>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69/00065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</si>
  <si>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</si>
  <si>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2569/00048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</si>
  <si>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2569/00052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</si>
  <si>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69/00066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</si>
  <si>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</si>
  <si>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69/00067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</si>
  <si>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69/00068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</si>
  <si>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</si>
  <si>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14 - 16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</si>
  <si>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2569/00053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</si>
  <si>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2569/00054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</si>
  <si>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</si>
  <si>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69/00073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</si>
  <si>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</si>
  <si>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2569/00055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</si>
  <si>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2569/00056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</si>
  <si>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69/00074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</si>
  <si>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69/00077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</si>
  <si>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</si>
  <si>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2569/00057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</si>
  <si>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2569/00060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</si>
  <si>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</si>
  <si>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2569/00061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</si>
  <si>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2569/00063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</si>
  <si>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</si>
  <si>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2569/00064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</si>
  <si>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2569/00066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</si>
  <si>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69/00078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</si>
  <si>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69/00079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</si>
  <si>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</si>
  <si>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21 - 23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</si>
  <si>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2569/00067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</si>
  <si>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69/00080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</si>
  <si>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</si>
  <si>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69/00081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</si>
  <si>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</si>
  <si>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69/00082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</si>
  <si>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69/00084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</si>
  <si>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</si>
  <si>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2569/00068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</si>
  <si>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</si>
  <si>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2569/00069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</si>
  <si>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</si>
  <si>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28 - 30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</si>
  <si>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2569/00070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</si>
  <si>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2569/00071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</si>
  <si>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69/00085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</si>
  <si>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69/00086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</si>
  <si>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</si>
  <si>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รายงานการรับชำระค่าธรรมเนียมผ่านไปรษณีย์ เดือน ธันวาคม </t>
    </r>
    <r>
      <rPr>
        <b val="true"/>
        <sz val="18"/>
        <color theme="1"/>
        <rFont val="TH SarabunPSK"/>
        <family val="0"/>
        <charset val="1"/>
      </rPr>
      <t xml:space="preserve">2568</t>
    </r>
  </si>
  <si>
    <r>
      <rPr>
        <sz val="16"/>
        <color theme="1"/>
        <rFont val="TH SarabunPSK"/>
        <family val="0"/>
        <charset val="1"/>
      </rPr>
      <t xml:space="preserve">1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</si>
  <si>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2569/00072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</si>
  <si>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69/00087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</si>
  <si>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2569/00073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</si>
  <si>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2569/00076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</si>
  <si>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69/00088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</si>
  <si>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69/00100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</si>
  <si>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</si>
  <si>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69/00101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</si>
  <si>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69/00130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</si>
  <si>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</si>
  <si>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4 - 7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</si>
  <si>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69/00131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</si>
  <si>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69/00155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</si>
  <si>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</si>
  <si>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</si>
  <si>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69/00156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</si>
  <si>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69/00223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</si>
  <si>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</si>
  <si>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9 - 10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</si>
  <si>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69/00224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</si>
  <si>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69/00284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</si>
  <si>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</si>
  <si>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2569/00077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</si>
  <si>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69/00285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</si>
  <si>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69/00328</t>
    </r>
  </si>
  <si>
    <r>
      <rPr>
        <sz val="16"/>
        <color theme="1"/>
        <rFont val="TH SarabunPSK"/>
        <family val="0"/>
        <charset val="1"/>
      </rPr>
      <t xml:space="preserve">12 - 14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</si>
  <si>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69/00329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</si>
  <si>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69/00402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</si>
  <si>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</si>
  <si>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2569/00078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</si>
  <si>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69/00403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</si>
  <si>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69/00458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</si>
  <si>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</si>
  <si>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69/00459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</si>
  <si>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69/00503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</si>
  <si>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</si>
  <si>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69/00504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</si>
  <si>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69/00540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</si>
  <si>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</si>
  <si>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2569/00079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</si>
  <si>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2569/00081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</si>
  <si>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69/00541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</si>
  <si>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69/00594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</si>
  <si>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</si>
  <si>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19 - 21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</si>
  <si>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2569/00082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</si>
  <si>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2569/00084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</si>
  <si>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69/00595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</si>
  <si>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69/00647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</si>
  <si>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</si>
  <si>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2569/00085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</si>
  <si>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69/00648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</si>
  <si>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69/00697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</si>
  <si>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</si>
  <si>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2569/00086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</si>
  <si>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2569/00087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</si>
  <si>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69/00698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</si>
  <si>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69/00742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</si>
  <si>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</si>
  <si>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2569/00088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</si>
  <si>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2569/00089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</si>
  <si>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69/00743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</si>
  <si>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69/00789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</si>
  <si>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</si>
  <si>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2569/00090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</si>
  <si>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2569/00093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</si>
  <si>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69/00790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</si>
  <si>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69/00817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</si>
  <si>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</si>
  <si>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26 - 28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</si>
  <si>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2569/00094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</si>
  <si>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2569/00100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</si>
  <si>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69/00818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</si>
  <si>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69/00883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</si>
  <si>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</si>
  <si>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2569/00101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</si>
  <si>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2569/00106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</si>
  <si>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69/00884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</si>
  <si>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69/00928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</si>
  <si>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</si>
  <si>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รายงานการรับชำระค่าธรรมเนียมผ่านไปรษณีย์ เดือน มกราคม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</si>
  <si>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68 - 4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</si>
  <si>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2569/00107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</si>
  <si>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2569/00111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</si>
  <si>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69/00929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</si>
  <si>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69/00973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</si>
  <si>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</si>
  <si>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</si>
  <si>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69/00974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</si>
  <si>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69/01059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</si>
  <si>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</si>
  <si>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</si>
  <si>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2569/00112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</si>
  <si>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2569/00113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</si>
  <si>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69/01060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</si>
  <si>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69/01138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</si>
  <si>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</si>
  <si>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</si>
  <si>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2569/00114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</si>
  <si>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69/01139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</si>
  <si>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69/01205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</si>
  <si>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</si>
  <si>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</si>
  <si>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2569/00115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</si>
  <si>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2569/00116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</si>
  <si>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69/01206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</si>
  <si>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69/01264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</si>
  <si>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</si>
  <si>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9 - 11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</si>
  <si>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2569/00117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</si>
  <si>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2569/00119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</si>
  <si>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69/01265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</si>
  <si>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69/01312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</si>
  <si>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</si>
  <si>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</si>
  <si>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2569/00120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</si>
  <si>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69/01313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</si>
  <si>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69/01362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</si>
  <si>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</si>
  <si>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</si>
  <si>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69/01363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</si>
  <si>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69/01418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</si>
  <si>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</si>
  <si>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</si>
  <si>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2569/00121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</si>
  <si>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69/01419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</si>
  <si>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69/01470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</si>
  <si>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</si>
  <si>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</si>
  <si>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69/01471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</si>
  <si>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69/01509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</si>
  <si>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</si>
  <si>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16 - 18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</si>
  <si>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69/01510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</si>
  <si>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69/01546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</si>
  <si>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</si>
  <si>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</si>
  <si>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69/01547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</si>
  <si>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69/01603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</si>
  <si>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</si>
  <si>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</si>
  <si>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2569/00122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</si>
  <si>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2569/00123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</si>
  <si>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69/01604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</si>
  <si>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69/01662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</si>
  <si>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</si>
  <si>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</si>
  <si>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2569/00124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</si>
  <si>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2569/00128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</si>
  <si>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69/01663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</si>
  <si>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69/01695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</si>
  <si>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</si>
  <si>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</si>
  <si>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2569/00129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</si>
  <si>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69/01696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</si>
  <si>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69/01735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</si>
  <si>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</si>
  <si>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23 - 25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</si>
  <si>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69/01736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</si>
  <si>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69/01773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</si>
  <si>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</si>
  <si>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</si>
  <si>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2569/00130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</si>
  <si>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69/01774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</si>
  <si>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69/01824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</si>
  <si>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</si>
  <si>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</si>
  <si>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69/01825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</si>
  <si>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69/01863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</si>
  <si>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</si>
  <si>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</si>
  <si>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2569/00131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</si>
  <si>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2569/00132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</si>
  <si>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69/01864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</si>
  <si>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69/01899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</si>
  <si>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</si>
  <si>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</si>
  <si>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2569/00133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</si>
  <si>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2569/00134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</si>
  <si>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69/01900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</si>
  <si>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69/01928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</si>
  <si>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.69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</si>
  <si>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รายงานการรับชำระค่าธรรมเนียมผ่านไปรษณีย์ เดือน กุมภาพันธ์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</si>
  <si>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69 - 1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</si>
  <si>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2569/00135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</si>
  <si>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2569/00136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</si>
  <si>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69/01929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</si>
  <si>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69/01984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</si>
  <si>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</si>
  <si>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69/01985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</si>
  <si>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69/02031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</si>
  <si>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</si>
  <si>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2569/00137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</si>
  <si>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2569/00142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</si>
  <si>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69/02032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</si>
  <si>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69/02085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</si>
  <si>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</si>
  <si>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2569/00143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</si>
  <si>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69/02086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</si>
  <si>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69/02130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</si>
  <si>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</si>
  <si>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69/02131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</si>
  <si>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69/02175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</si>
  <si>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</si>
  <si>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6 - 8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</si>
  <si>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2569/00144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</si>
  <si>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69/02176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</si>
  <si>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69/02226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</si>
  <si>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</si>
  <si>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69/02227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</si>
  <si>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69/02273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</si>
  <si>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</si>
  <si>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69/02274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</si>
  <si>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69/02308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</si>
  <si>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</si>
  <si>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69/02309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</si>
  <si>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69/02358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</si>
  <si>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</si>
  <si>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69/02359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</si>
  <si>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69/02393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</si>
  <si>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</si>
  <si>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13 - 15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</si>
  <si>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2569/00145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</si>
  <si>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2569/00146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</si>
  <si>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69/02394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</si>
  <si>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69/02429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</si>
  <si>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</si>
  <si>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69/02430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</si>
  <si>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69/02462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</si>
  <si>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</si>
  <si>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69/02463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</si>
  <si>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69/02486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</si>
  <si>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</si>
  <si>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69/02487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</si>
  <si>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69/02521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</si>
  <si>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</si>
  <si>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2569/00147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</si>
  <si>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69/02522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</si>
  <si>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69/02540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</si>
  <si>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</si>
  <si>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20 - 22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</si>
  <si>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69/02541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</si>
  <si>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69/02577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</si>
  <si>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</si>
  <si>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69/02578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</si>
  <si>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69/02620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</si>
  <si>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</si>
  <si>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69/02621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</si>
  <si>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69/02681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</si>
  <si>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</si>
  <si>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69/02682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</si>
  <si>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69/02724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</si>
  <si>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</si>
  <si>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2569/00148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</si>
  <si>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69/02725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</si>
  <si>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69/02777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</si>
  <si>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</si>
  <si>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รายงานการรับชำระค่าธรรมเนียมผ่านไปรษณีย์ เดือน มีนาคม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</si>
  <si>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- 1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</si>
  <si>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69/02778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</si>
  <si>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69/02894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</si>
  <si>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</si>
  <si>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2 - 3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</si>
  <si>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69/02895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</si>
  <si>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69/02931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</si>
  <si>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</si>
  <si>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69/02932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</si>
  <si>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69/02962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</si>
  <si>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</si>
  <si>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69/02963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</si>
  <si>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69/02979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</si>
  <si>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</si>
  <si>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6 - 8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</si>
  <si>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69/02980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</si>
  <si>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69/03013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</si>
  <si>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</si>
  <si>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69/03014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</si>
  <si>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69/03034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</si>
  <si>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</si>
  <si>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69/03035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</si>
  <si>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69/03065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</si>
  <si>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</si>
  <si>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69/03066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</si>
  <si>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69/03081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</si>
  <si>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</si>
  <si>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2569/00149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</si>
  <si>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69/03082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</si>
  <si>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69/03101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</si>
  <si>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</si>
  <si>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13 - 15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</si>
  <si>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2569/00150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</si>
  <si>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69/03102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</si>
  <si>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69/03121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</si>
  <si>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</si>
  <si>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2569/00151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</si>
  <si>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69/03122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</si>
  <si>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69/03130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</si>
  <si>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</si>
  <si>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2569/00152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</si>
  <si>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2569/00153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</si>
  <si>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69/03131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</si>
  <si>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69/03144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</si>
  <si>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</si>
  <si>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69/03145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</si>
  <si>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69/03154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</si>
  <si>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</si>
  <si>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69/03155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</si>
  <si>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69/03161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</si>
  <si>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</si>
  <si>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20 - 22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</si>
  <si>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69/03162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</si>
  <si>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69/03172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</si>
  <si>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</si>
  <si>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69/03173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</si>
  <si>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69/03191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</si>
  <si>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</si>
  <si>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69/03192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</si>
  <si>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69/03198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</si>
  <si>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</si>
  <si>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69/03199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</si>
  <si>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69/03203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</si>
  <si>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</si>
  <si>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2569/00154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</si>
  <si>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2569/00155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</si>
  <si>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69/03204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</si>
  <si>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69/03213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</si>
  <si>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</si>
  <si>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27 - 29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</si>
  <si>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2569/00156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</si>
  <si>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2569/00157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</si>
  <si>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69/03214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</si>
  <si>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69/03230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</si>
  <si>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</si>
  <si>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2569/00158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</si>
  <si>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2569/00160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</si>
  <si>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69/03231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</si>
  <si>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69/03247</t>
    </r>
  </si>
  <si>
    <r>
      <rPr>
        <sz val="16"/>
        <color theme="1"/>
        <rFont val="TH SarabunPSK"/>
        <family val="0"/>
        <charset val="1"/>
      </rPr>
      <t xml:space="preserve">31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</si>
  <si>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69/03248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</si>
  <si>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69/03257</t>
    </r>
  </si>
  <si>
    <r>
      <rPr>
        <sz val="16"/>
        <color theme="1"/>
        <rFont val="TH SarabunPSK"/>
        <family val="0"/>
        <charset val="1"/>
      </rPr>
      <t xml:space="preserve">1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</si>
  <si>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รายงานการรับชำระค่าธรรมเนียมผ่านไปรษณีย์ เดือน เมษายน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</si>
  <si>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2569/00161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</si>
  <si>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69/03258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</si>
  <si>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69/03271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</si>
  <si>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</si>
  <si>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69/03272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</si>
  <si>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69/03284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</si>
  <si>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</si>
  <si>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3 - 6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</si>
  <si>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2569/00162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</si>
  <si>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2569/00163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</si>
  <si>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69/03285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</si>
  <si>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69/03302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</si>
  <si>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</si>
  <si>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69/03303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</si>
  <si>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69/03322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</si>
  <si>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</si>
  <si>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2569/00164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</si>
  <si>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2569/00166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</si>
  <si>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69/03323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</si>
  <si>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69/03351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</si>
  <si>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</si>
  <si>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2569/00167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</si>
  <si>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69/03352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</si>
  <si>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69/03374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</si>
  <si>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</si>
  <si>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10 - 15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</si>
  <si>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69/03375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</si>
  <si>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69/03414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</si>
  <si>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</si>
  <si>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69/03415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</si>
  <si>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69/03424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</si>
  <si>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</si>
  <si>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17 - 19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</si>
  <si>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69/03425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</si>
  <si>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69/03445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</si>
  <si>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</si>
  <si>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69/03446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</si>
  <si>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69/03460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</si>
  <si>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</si>
  <si>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69/03461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</si>
  <si>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69/03496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</si>
  <si>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</si>
  <si>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69/03497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</si>
  <si>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69/03527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</si>
  <si>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</si>
  <si>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69/03528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</si>
  <si>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69/03546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</si>
  <si>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</si>
  <si>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24 - 26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</si>
  <si>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69/03547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</si>
  <si>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69/03570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</si>
  <si>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</si>
  <si>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2569/00168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</si>
  <si>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2569/00170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</si>
  <si>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69/03571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</si>
  <si>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69/03604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</si>
  <si>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</si>
  <si>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2569/00171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</si>
  <si>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69/03605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</si>
  <si>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69/03623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</si>
  <si>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</si>
  <si>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69/03624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</si>
  <si>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69/03647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</si>
  <si>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</si>
  <si>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รายงานการรับชำระค่าธรรมเนียมผ่านไปรษณีย์ เดือน พฤษภาคม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</si>
  <si>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b val="true"/>
        <sz val="16"/>
        <color theme="1"/>
        <rFont val="Arial"/>
        <family val="0"/>
        <charset val="1"/>
      </rPr>
      <t xml:space="preserve">นำรายได้ ส่ง กค</t>
    </r>
    <r>
      <rPr>
        <b val="true"/>
        <sz val="16"/>
        <color theme="1"/>
        <rFont val="TH SarabunPSK"/>
        <family val="0"/>
        <charset val="1"/>
      </rPr>
      <t xml:space="preserve">.
 พรบ.42 + </t>
    </r>
    <r>
      <rPr>
        <b val="true"/>
        <sz val="16"/>
        <color theme="1"/>
        <rFont val="Arial"/>
        <family val="0"/>
        <charset val="1"/>
      </rPr>
      <t xml:space="preserve">พรบ</t>
    </r>
    <r>
      <rPr>
        <b val="true"/>
        <sz val="16"/>
        <color theme="1"/>
        <rFont val="TH SarabunPSK"/>
        <family val="0"/>
        <charset val="1"/>
      </rPr>
      <t xml:space="preserve">.43 </t>
    </r>
  </si>
  <si>
    <r>
      <rPr>
        <sz val="16"/>
        <color theme="1"/>
        <rFont val="TH SarabunPSK"/>
        <family val="0"/>
        <charset val="1"/>
      </rPr>
      <t xml:space="preserve">30 - 4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</si>
  <si>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2569/00172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</si>
  <si>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69/03653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</si>
  <si>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69/03685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</si>
  <si>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69/03648 - 03652</t>
    </r>
  </si>
  <si>
    <r>
      <rPr>
        <sz val="16"/>
        <color theme="1"/>
        <rFont val="TH SarabunPSK"/>
        <family val="0"/>
        <charset val="1"/>
      </rPr>
      <t xml:space="preserve">1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 </t>
    </r>
    <r>
      <rPr>
        <sz val="16"/>
        <color theme="1"/>
        <rFont val="Arial"/>
        <family val="0"/>
        <charset val="1"/>
      </rPr>
      <t xml:space="preserve">ปณ</t>
    </r>
    <r>
      <rPr>
        <sz val="16"/>
        <color theme="1"/>
        <rFont val="TH SarabunPSK"/>
        <family val="0"/>
        <charset val="1"/>
      </rPr>
      <t xml:space="preserve">. </t>
    </r>
    <r>
      <rPr>
        <sz val="16"/>
        <color theme="1"/>
        <rFont val="Arial"/>
        <family val="0"/>
        <charset val="1"/>
      </rPr>
      <t xml:space="preserve">หยุด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</si>
  <si>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</si>
  <si>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</si>
  <si>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2569/00173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</si>
  <si>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2569/00175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</si>
  <si>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69/03686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</si>
  <si>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69/03708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</si>
  <si>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2569/00176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</si>
  <si>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69/03709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</si>
  <si>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69/03727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</si>
  <si>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</si>
  <si>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69/03728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</si>
  <si>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69/03743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</si>
  <si>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</si>
  <si>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8 - 10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</si>
  <si>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69/03744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</si>
  <si>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69/03759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</si>
  <si>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</si>
  <si>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69/03760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</si>
  <si>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69/03782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</si>
  <si>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</si>
  <si>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12 - 13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</si>
  <si>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69/03783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</si>
  <si>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69/03797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</si>
  <si>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</si>
  <si>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69/03798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</si>
  <si>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69/03725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</si>
  <si>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</si>
  <si>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15 - 17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</si>
  <si>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69/03726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</si>
  <si>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69/03841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</si>
  <si>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</si>
  <si>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69/03842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</si>
  <si>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69/03851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</si>
  <si>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</si>
  <si>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69/03852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</si>
  <si>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69/03869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</si>
  <si>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</si>
  <si>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69/03870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</si>
  <si>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69/03879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</si>
  <si>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</si>
  <si>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69/03880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</si>
  <si>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69/03899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</si>
  <si>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</si>
  <si>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22 - 24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</si>
  <si>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69/03900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</si>
  <si>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69/03916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</si>
  <si>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</si>
  <si>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69/03917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</si>
  <si>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69/03942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</si>
  <si>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</si>
  <si>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69/03943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</si>
  <si>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69/03959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</si>
  <si>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</si>
  <si>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69/03960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</si>
  <si>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69/03979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</si>
  <si>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</si>
  <si>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69/03980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</si>
  <si>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69/03994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</si>
  <si>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</si>
  <si>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รายงานการรับชำระค่าธรรมเนียมผ่านไปรษณีย์ เดือน มิถุนายน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</si>
  <si>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- 1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</si>
  <si>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69/03996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</si>
  <si>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69/04009 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</si>
  <si>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69/0395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</si>
  <si>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</si>
  <si>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2 - 3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</si>
  <si>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2569/00177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</si>
  <si>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69/04010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</si>
  <si>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69/04024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</si>
  <si>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</si>
  <si>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2569/00178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</si>
  <si>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69/04025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</si>
  <si>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69/04032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</si>
  <si>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</si>
  <si>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5 - 7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</si>
  <si>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69/04033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</si>
  <si>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69/04042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</si>
  <si>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</si>
  <si>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2569/00179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</si>
  <si>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69/04043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</si>
  <si>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69/04048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</si>
  <si>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</si>
  <si>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69/04049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</si>
  <si>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69/04054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</si>
  <si>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</si>
  <si>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2569/00180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</si>
  <si>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69/04055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</si>
  <si>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69/04063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</si>
  <si>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</si>
  <si>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 ป </t>
    </r>
    <r>
      <rPr>
        <sz val="16"/>
        <color theme="1"/>
        <rFont val="TH SarabunPSK"/>
        <family val="0"/>
        <charset val="1"/>
      </rPr>
      <t xml:space="preserve">69/04064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</si>
  <si>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69/04070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</si>
  <si>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</si>
  <si>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12 - 14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</si>
  <si>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2569/00181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</si>
  <si>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69/04071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</si>
  <si>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69/04075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</si>
  <si>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</si>
  <si>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69/04076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</si>
  <si>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69/04078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</si>
  <si>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</si>
  <si>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 ป </t>
    </r>
    <r>
      <rPr>
        <sz val="16"/>
        <color theme="1"/>
        <rFont val="TH SarabunPSK"/>
        <family val="0"/>
        <charset val="1"/>
      </rPr>
      <t xml:space="preserve">69/04079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</si>
  <si>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69/04087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</si>
  <si>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</si>
  <si>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2569/00182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</si>
  <si>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69/04088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</si>
  <si>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69/04093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</si>
  <si>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</si>
  <si>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69/04094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</si>
  <si>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69/04102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</si>
  <si>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.69</t>
    </r>
  </si>
  <si>
    <r>
      <rPr>
        <sz val="16"/>
        <color theme="1"/>
        <rFont val="TH SarabunPSK"/>
        <family val="0"/>
        <charset val="1"/>
      </rPr>
      <t xml:space="preserve">19 - 21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</si>
  <si>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2569/00183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</si>
  <si>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2569/00184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</si>
  <si>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69/04103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</si>
  <si>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69/04108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</si>
  <si>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</si>
  <si>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69/04109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</si>
  <si>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69/04126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</si>
  <si>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</si>
  <si>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69/04127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</si>
  <si>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69/04137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</si>
  <si>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</si>
  <si>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2569/00185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</si>
  <si>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69/04138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</si>
  <si>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69/04149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</si>
  <si>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</si>
  <si>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2569/00186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</si>
  <si>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69/04150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</si>
  <si>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69/04154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</si>
  <si>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</si>
  <si>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26 - 28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</si>
  <si>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2569/00187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</si>
  <si>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69/04155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</si>
  <si>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69/04165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</si>
  <si>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</si>
  <si>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69/04166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</si>
  <si>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69/04173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</si>
  <si>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</si>
  <si>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69/04174</t>
    </r>
  </si>
  <si>
    <r>
      <rPr>
        <sz val="16"/>
        <color theme="1"/>
        <rFont val="Arial"/>
        <family val="0"/>
        <charset val="1"/>
      </rPr>
      <t xml:space="preserve">ป </t>
    </r>
    <r>
      <rPr>
        <sz val="16"/>
        <color theme="1"/>
        <rFont val="TH SarabunPSK"/>
        <family val="0"/>
        <charset val="1"/>
      </rPr>
      <t xml:space="preserve">69/04179</t>
    </r>
  </si>
  <si>
    <r>
      <rPr>
        <sz val="16"/>
        <color theme="1"/>
        <rFont val="TH SarabunPSK"/>
        <family val="0"/>
        <charset val="1"/>
      </rPr>
      <t xml:space="preserve">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</si>
  <si>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รายงานการรับชำระค่าธรรมเนียมผ่านไปรษณีย์ เดือน กรกฎาคม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</si>
  <si>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2569/00188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</si>
  <si>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2569/00189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</si>
  <si>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69/04180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</si>
  <si>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69/04185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</si>
  <si>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</si>
  <si>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2569/00190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</si>
  <si>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2569/00191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</si>
  <si>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69/04186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</si>
  <si>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69/04191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</si>
  <si>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</si>
  <si>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3 - 5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</si>
  <si>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69/04192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</si>
  <si>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69/04196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</si>
  <si>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</si>
  <si>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69/04197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</si>
  <si>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69/04210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</si>
  <si>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</si>
  <si>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69/04211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</si>
  <si>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69/04214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</si>
  <si>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</si>
  <si>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2569/00192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</si>
  <si>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69/04215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</si>
  <si>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69/04222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</si>
  <si>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</si>
  <si>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2569/00193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</si>
  <si>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69/04223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</si>
  <si>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69/04228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</si>
  <si>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</si>
  <si>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10 - 12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</si>
  <si>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2569/00194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</si>
  <si>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69/04229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</si>
  <si>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69/04236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</si>
  <si>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</si>
  <si>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69/04237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</si>
  <si>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69/04248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</si>
  <si>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</si>
  <si>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69/04249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</si>
  <si>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69/04256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</si>
  <si>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</si>
  <si>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69/04257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</si>
  <si>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69/04262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</si>
  <si>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</si>
  <si>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2569/00195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</si>
  <si>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69/04263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</si>
  <si>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69/04271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</si>
  <si>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</si>
  <si>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17 - 19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</si>
  <si>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69/04272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</si>
  <si>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69/04281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</si>
  <si>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</si>
  <si>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69/04282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</si>
  <si>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69/04286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</si>
  <si>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</si>
  <si>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2569/00196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</si>
  <si>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69/04287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</si>
  <si>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69/04288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</si>
  <si>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</si>
  <si>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69/04289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</si>
  <si>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69/04296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</si>
  <si>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</si>
  <si>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69/04297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</si>
  <si>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69/04303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</si>
  <si>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</si>
  <si>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24 - 26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</si>
  <si>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2569/00197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</si>
  <si>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2569/00198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</si>
  <si>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69/04304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</si>
  <si>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69/04310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</si>
  <si>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</si>
  <si>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27 - 30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</si>
  <si>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69/04311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</si>
  <si>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69/04314</t>
    </r>
  </si>
  <si>
    <r>
      <rPr>
        <sz val="16"/>
        <color theme="1"/>
        <rFont val="TH SarabunPSK"/>
        <family val="0"/>
        <charset val="1"/>
      </rPr>
      <t xml:space="preserve">31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</si>
  <si>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รายงานการรับชำระค่าธรรมเนียมผ่านไปรษณีย์ เดือน สิงหาคม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</si>
  <si>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31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- 2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</si>
  <si>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69/04315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</si>
  <si>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69/04324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</si>
  <si>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</si>
  <si>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69/04325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</si>
  <si>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69/04332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</si>
  <si>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</si>
  <si>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69/04333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</si>
  <si>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</si>
  <si>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69/04334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</si>
  <si>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69/04336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</si>
  <si>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</si>
  <si>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69/04337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</si>
  <si>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69/04340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</si>
  <si>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</si>
  <si>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7 - 9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</si>
  <si>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69/04341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</si>
  <si>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69/04342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</si>
  <si>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</si>
  <si>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69/04343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</si>
  <si>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69/04344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</si>
  <si>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</si>
  <si>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11 - 12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</si>
  <si>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69/04345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</si>
  <si>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69/04346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</si>
  <si>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</si>
  <si>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2569/00199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</si>
  <si>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2569/00200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</si>
  <si>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69/04347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</si>
  <si>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</si>
  <si>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14 - 16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</si>
  <si>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2569/00201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</si>
  <si>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2569/00202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</si>
  <si>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69/04348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</si>
  <si>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69/04355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</si>
  <si>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</si>
  <si>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2569/00203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</si>
  <si>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69/04356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</si>
  <si>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69/04360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</si>
  <si>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</si>
  <si>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69/04361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</si>
  <si>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69/04368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</si>
  <si>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</si>
  <si>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2569/00204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</si>
  <si>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2569/00205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</si>
  <si>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</si>
  <si>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69/04372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</si>
  <si>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</si>
  <si>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69/04373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</si>
  <si>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69/04378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</si>
  <si>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</si>
  <si>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21 - 23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</si>
  <si>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69/04379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</si>
  <si>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69/04387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</si>
  <si>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</si>
  <si>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69/04388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</si>
  <si>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69/04400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</si>
  <si>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</si>
  <si>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69/04401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</si>
  <si>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69/04406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</si>
  <si>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</si>
  <si>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2569/00206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</si>
  <si>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69/04407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</si>
  <si>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69/04415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</si>
  <si>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</si>
  <si>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2569/00207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</si>
  <si>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2569/00208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</si>
  <si>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69/04416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</si>
  <si>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69/04419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</si>
  <si>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</si>
  <si>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28 - 30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</si>
  <si>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2569/00209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</si>
  <si>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69/04420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</si>
  <si>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69/04432</t>
    </r>
  </si>
  <si>
    <r>
      <rPr>
        <sz val="16"/>
        <color theme="1"/>
        <rFont val="TH SarabunPSK"/>
        <family val="0"/>
        <charset val="1"/>
      </rPr>
      <t xml:space="preserve">31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</si>
  <si>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2569/00210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</si>
  <si>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69/04433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</si>
  <si>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69/04444</t>
    </r>
  </si>
  <si>
    <r>
      <rPr>
        <sz val="16"/>
        <color theme="1"/>
        <rFont val="TH SarabunPSK"/>
        <family val="0"/>
        <charset val="1"/>
      </rPr>
      <t xml:space="preserve">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</si>
  <si>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รายงานการรับชำระค่าธรรมเนียมผ่านไปรษณีย์ เดือน กันยายน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</si>
  <si>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</si>
  <si>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2569/00211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</si>
  <si>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69/04445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</si>
  <si>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69/04455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</si>
  <si>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</si>
  <si>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</si>
  <si>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69/04456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</si>
  <si>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69/04459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</si>
  <si>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</si>
  <si>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</si>
  <si>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2569/00212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</si>
  <si>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2569/00213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</si>
  <si>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69/04460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</si>
  <si>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69/04462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</si>
  <si>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</si>
  <si>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4 - 6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</si>
  <si>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2569/00214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</si>
  <si>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69/04463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</si>
  <si>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69/04469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</si>
  <si>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</si>
  <si>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</si>
  <si>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69/04470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</si>
  <si>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69/04471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</si>
  <si>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</si>
  <si>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</si>
  <si>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69/04472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</si>
  <si>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69/04475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</si>
  <si>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</si>
  <si>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</si>
  <si>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69/04476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</si>
  <si>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69/04477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</si>
  <si>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</si>
  <si>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</si>
  <si>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2569/00215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</si>
  <si>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2569/00218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</si>
  <si>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69/04478</t>
    </r>
  </si>
  <si>
    <r>
      <rPr>
        <sz val="16"/>
        <color theme="1"/>
        <rFont val="Arial"/>
        <family val="0"/>
        <charset val="1"/>
      </rPr>
      <t xml:space="preserve">ป</t>
    </r>
    <r>
      <rPr>
        <sz val="16"/>
        <color theme="1"/>
        <rFont val="TH SarabunPSK"/>
        <family val="0"/>
        <charset val="1"/>
      </rPr>
      <t xml:space="preserve">69/04482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</si>
  <si>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</si>
  <si>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11 - 13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</si>
  <si>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</si>
  <si>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</si>
  <si>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</si>
  <si>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</si>
  <si>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</si>
  <si>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18 - 20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</si>
  <si>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</si>
  <si>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</si>
  <si>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</si>
  <si>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</si>
  <si>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25 - 27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</si>
  <si>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</si>
  <si>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</si>
  <si>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</si>
  <si>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b val="true"/>
        <sz val="21"/>
        <color theme="1"/>
        <rFont val="Arial"/>
        <family val="0"/>
        <charset val="1"/>
      </rPr>
      <t xml:space="preserve">รายงานการรับชำระค่าธรรมเนียมผ่านไปรษณีย์ </t>
    </r>
    <r>
      <rPr>
        <b val="true"/>
        <sz val="21"/>
        <color theme="1"/>
        <rFont val="TH SarabunPSK"/>
        <family val="0"/>
        <charset val="1"/>
      </rPr>
      <t xml:space="preserve">2569</t>
    </r>
  </si>
  <si>
    <t xml:space="preserve">เดือน</t>
  </si>
  <si>
    <r>
      <rPr>
        <b val="true"/>
        <sz val="16"/>
        <color theme="1"/>
        <rFont val="Arial"/>
        <family val="0"/>
        <charset val="1"/>
      </rPr>
      <t xml:space="preserve">ระบบ </t>
    </r>
    <r>
      <rPr>
        <b val="true"/>
        <sz val="16"/>
        <color theme="1"/>
        <rFont val="TH SarabunPSK"/>
        <family val="0"/>
        <charset val="1"/>
      </rPr>
      <t xml:space="preserve">Safety</t>
    </r>
  </si>
  <si>
    <r>
      <rPr>
        <b val="true"/>
        <sz val="16"/>
        <color theme="1"/>
        <rFont val="Arial"/>
        <family val="0"/>
        <charset val="1"/>
      </rPr>
      <t xml:space="preserve">ระบบ </t>
    </r>
    <r>
      <rPr>
        <b val="true"/>
        <sz val="16"/>
        <color theme="1"/>
        <rFont val="TH SarabunPSK"/>
        <family val="0"/>
        <charset val="1"/>
      </rPr>
      <t xml:space="preserve">Receipt  </t>
    </r>
  </si>
  <si>
    <r>
      <rPr>
        <b val="true"/>
        <sz val="16"/>
        <color theme="1"/>
        <rFont val="Arial"/>
        <family val="0"/>
        <charset val="1"/>
      </rPr>
      <t xml:space="preserve">รวม </t>
    </r>
    <r>
      <rPr>
        <b val="true"/>
        <sz val="16"/>
        <color theme="1"/>
        <rFont val="TH SarabunPSK"/>
        <family val="0"/>
        <charset val="1"/>
      </rPr>
      <t xml:space="preserve">2 </t>
    </r>
    <r>
      <rPr>
        <b val="true"/>
        <sz val="16"/>
        <color theme="1"/>
        <rFont val="Arial"/>
        <family val="0"/>
        <charset val="1"/>
      </rPr>
      <t xml:space="preserve">ช่องทาง</t>
    </r>
  </si>
  <si>
    <r>
      <rPr>
        <b val="true"/>
        <sz val="16"/>
        <color theme="1"/>
        <rFont val="Arial"/>
        <family val="0"/>
        <charset val="1"/>
      </rPr>
      <t xml:space="preserve">ต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.68</t>
    </r>
  </si>
  <si>
    <r>
      <rPr>
        <b val="true"/>
        <sz val="16"/>
        <color theme="1"/>
        <rFont val="Arial"/>
        <family val="0"/>
        <charset val="1"/>
      </rPr>
      <t xml:space="preserve">พ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ย</t>
    </r>
    <r>
      <rPr>
        <b val="true"/>
        <sz val="16"/>
        <color theme="1"/>
        <rFont val="TH SarabunPSK"/>
        <family val="0"/>
        <charset val="1"/>
      </rPr>
      <t xml:space="preserve">.68</t>
    </r>
  </si>
  <si>
    <r>
      <rPr>
        <b val="true"/>
        <sz val="16"/>
        <color theme="1"/>
        <rFont val="Arial"/>
        <family val="0"/>
        <charset val="1"/>
      </rPr>
      <t xml:space="preserve">ธ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.68</t>
    </r>
  </si>
  <si>
    <r>
      <rPr>
        <b val="true"/>
        <sz val="16"/>
        <color theme="1"/>
        <rFont val="Arial"/>
        <family val="0"/>
        <charset val="1"/>
      </rPr>
      <t xml:space="preserve">ม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</si>
  <si>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ก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พ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</si>
  <si>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มี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</si>
  <si>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เม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ย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</si>
  <si>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พ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</si>
  <si>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มิ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ย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</si>
  <si>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ก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</si>
  <si>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ส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</si>
  <si>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ก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ย</t>
    </r>
    <r>
      <rPr>
        <b val="true"/>
        <sz val="16"/>
        <color theme="1"/>
        <rFont val="TH SarabunPSK"/>
        <family val="0"/>
        <charset val="1"/>
      </rPr>
      <t xml:space="preserve">.69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</si>
</sst>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_-;\-* #,##0_-;_-* \-??_-;_-@"/>
    <numFmt numFmtId="166" formatCode="@"/>
    <numFmt numFmtId="167" formatCode="#,##0"/>
    <numFmt numFmtId="168" formatCode="#,##0.00;\(#,##0.00\)"/>
    <numFmt numFmtId="169" formatCode="#,##0.00"/>
    <numFmt numFmtId="170" formatCode="0.00%"/>
  </numFmts>
  <fonts count="1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Arial"/>
      <family val="0"/>
      <charset val="1"/>
    </font>
    <font>
      <b val="true"/>
      <sz val="18"/>
      <color theme="1"/>
      <name val="TH SarabunPSK"/>
      <family val="0"/>
      <charset val="1"/>
    </font>
    <font>
      <sz val="16"/>
      <color theme="1"/>
      <name val="TH SarabunPSK"/>
      <family val="0"/>
      <charset val="1"/>
    </font>
    <font>
      <b val="true"/>
      <sz val="16"/>
      <color theme="1"/>
      <name val="Arial"/>
      <family val="0"/>
      <charset val="1"/>
    </font>
    <font>
      <b val="true"/>
      <sz val="16"/>
      <color theme="1"/>
      <name val="TH SarabunPSK"/>
      <family val="0"/>
      <charset val="1"/>
    </font>
    <font>
      <sz val="16"/>
      <color theme="1"/>
      <name val="Arial"/>
      <family val="0"/>
      <charset val="1"/>
    </font>
    <font>
      <b val="true"/>
      <u val="single"/>
      <sz val="16"/>
      <color theme="1"/>
      <name val="TH SarabunPSK"/>
      <family val="0"/>
      <charset val="1"/>
    </font>
    <font>
      <sz val="15"/>
      <color theme="1"/>
      <name val="TH SarabunPSK"/>
      <family val="0"/>
      <charset val="1"/>
    </font>
    <font>
      <sz val="15"/>
      <color theme="1"/>
      <name val="Arial"/>
      <family val="0"/>
      <charset val="1"/>
    </font>
    <font>
      <b val="true"/>
      <sz val="16"/>
      <color theme="0"/>
      <name val="TH SarabunPSK"/>
      <family val="0"/>
      <charset val="1"/>
    </font>
    <font>
      <b val="true"/>
      <sz val="21"/>
      <color theme="1"/>
      <name val="Arial"/>
      <family val="0"/>
      <charset val="1"/>
    </font>
    <font>
      <b val="true"/>
      <sz val="21"/>
      <color theme="1"/>
      <name val="TH SarabunPSK"/>
      <family val="0"/>
      <charset val="1"/>
    </font>
    <font>
      <sz val="11"/>
      <color theme="1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92CDDC"/>
        <bgColor rgb="FF9FC5E8"/>
      </patternFill>
    </fill>
    <fill>
      <patternFill patternType="solid">
        <fgColor rgb="FF9FC5E8"/>
        <bgColor rgb="FF92CDDC"/>
      </patternFill>
    </fill>
    <fill>
      <patternFill patternType="solid">
        <fgColor rgb="FFF6B26B"/>
        <bgColor rgb="FFFFA8A8"/>
      </patternFill>
    </fill>
    <fill>
      <patternFill patternType="solid">
        <fgColor rgb="FFFFD966"/>
        <bgColor rgb="FFFFDAB4"/>
      </patternFill>
    </fill>
    <fill>
      <patternFill patternType="solid">
        <fgColor rgb="FFFFB9C4"/>
        <bgColor rgb="FFFFA8A8"/>
      </patternFill>
    </fill>
    <fill>
      <patternFill patternType="solid">
        <fgColor rgb="FF93C47D"/>
        <bgColor rgb="FFB6D7A8"/>
      </patternFill>
    </fill>
    <fill>
      <patternFill patternType="solid">
        <fgColor rgb="FFB4A7D6"/>
        <bgColor rgb="FF9FC5E8"/>
      </patternFill>
    </fill>
    <fill>
      <patternFill patternType="solid">
        <fgColor rgb="FFE1F8FF"/>
        <bgColor rgb="FFFFFFFF"/>
      </patternFill>
    </fill>
    <fill>
      <patternFill patternType="solid">
        <fgColor rgb="FFFFDAB4"/>
        <bgColor rgb="FFFFE0E5"/>
      </patternFill>
    </fill>
    <fill>
      <patternFill patternType="solid">
        <fgColor rgb="FFFFF6DC"/>
        <bgColor rgb="FFFFFFFF"/>
      </patternFill>
    </fill>
    <fill>
      <patternFill patternType="solid">
        <fgColor rgb="FFFFE0E5"/>
        <bgColor rgb="FFFFDAB4"/>
      </patternFill>
    </fill>
    <fill>
      <patternFill patternType="solid">
        <fgColor rgb="FFC9DFBF"/>
        <bgColor rgb="FFB6D7A8"/>
      </patternFill>
    </fill>
    <fill>
      <patternFill patternType="solid">
        <fgColor theme="0"/>
        <bgColor rgb="FFFFF6DC"/>
      </patternFill>
    </fill>
    <fill>
      <patternFill patternType="solid">
        <fgColor rgb="FF6FA8DC"/>
        <bgColor rgb="FF92CDDC"/>
      </patternFill>
    </fill>
    <fill>
      <patternFill patternType="solid">
        <fgColor rgb="FFFFA8A8"/>
        <bgColor rgb="FFFFB9C4"/>
      </patternFill>
    </fill>
    <fill>
      <patternFill patternType="solid">
        <fgColor rgb="FFB6D7A8"/>
        <bgColor rgb="FFC9DFBF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3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2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1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2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1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1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1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1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1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6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6FA8DC"/>
      <rgbColor rgb="FF993366"/>
      <rgbColor rgb="FFFFF6DC"/>
      <rgbColor rgb="FFE1F8FF"/>
      <rgbColor rgb="FF660066"/>
      <rgbColor rgb="FFF6B26B"/>
      <rgbColor rgb="FF0066CC"/>
      <rgbColor rgb="FFFFE0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2CDDC"/>
      <rgbColor rgb="FFC9DFBF"/>
      <rgbColor rgb="FFFFD966"/>
      <rgbColor rgb="FF9FC5E8"/>
      <rgbColor rgb="FFFFA8A8"/>
      <rgbColor rgb="FFB4A7D6"/>
      <rgbColor rgb="FFFFDAB4"/>
      <rgbColor rgb="FF3366FF"/>
      <rgbColor rgb="FF33CCCC"/>
      <rgbColor rgb="FF99CC00"/>
      <rgbColor rgb="FFFFB9C4"/>
      <rgbColor rgb="FFFF9900"/>
      <rgbColor rgb="FFFF6600"/>
      <rgbColor rgb="FF666699"/>
      <rgbColor rgb="FF93C47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outlinePr summaryBelow="0"/>
    <pageSetUpPr fitToPage="true"/>
  </sheetPr>
  <dimension ref="A1:AA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7" min="7" style="0" width="13.5"/>
    <col min="2" max="2"/>
    <col collapsed="false" customWidth="false" hidden="true" outlineLevel="0" max="16" min="9" style="0" width="12.63"/>
    <col collapsed="false" customWidth="true" hidden="false" outlineLevel="0" max="23" min="23" style="0" width="14.88"/>
    <col collapsed="false" customWidth="true" hidden="false" outlineLevel="0" max="24" min="24" style="0" width="12.5"/>
  </cols>
  <sheetData>
    <row r="1" customFormat="false" ht="26.1" hidden="false" customHeight="false" outlineLevel="0" collapsed="false">
      <c r="A1" s="1" t="s">
        <v>0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2.35" hidden="false" customHeight="true" outlineLevel="0" collapsed="false">
      <c r="A3" s="3" t="s">
        <v>1</v>
      </c>
      <c r="B3" s="3" t="inlineStr">
        <is>
          <t>ข้อมูลกฎหมาย</t>
        </is>
      </c>
      <c r="C3" s="4" t="s">
        <v>2</v>
      </c>
      <c r="D3" s="4"/>
      <c r="E3" s="4"/>
      <c r="F3" s="4"/>
      <c r="G3" s="4"/>
      <c r="H3" s="4"/>
      <c r="I3" s="5" t="s">
        <v>3</v>
      </c>
      <c r="J3" s="5"/>
      <c r="K3" s="5"/>
      <c r="L3" s="5"/>
      <c r="M3" s="5"/>
      <c r="N3" s="5"/>
      <c r="O3" s="5"/>
      <c r="P3" s="5"/>
      <c r="Q3" s="6" t="s">
        <v>4</v>
      </c>
      <c r="R3" s="6"/>
      <c r="S3" s="6"/>
      <c r="T3" s="6"/>
      <c r="U3" s="6"/>
      <c r="V3" s="6"/>
      <c r="W3" s="7" t="s">
        <v>5</v>
      </c>
      <c r="X3" s="7"/>
      <c r="Y3" s="8" t="s">
        <v>6</v>
      </c>
      <c r="Z3" s="9" t="s">
        <v>7</v>
      </c>
      <c r="AA3" s="10" t="s">
        <v>8</v>
      </c>
    </row>
    <row r="4" customFormat="false" ht="22.35" hidden="false" customHeight="false" outlineLevel="0" collapsed="false">
      <c r="A4" s="3"/>
      <c r="B4" s="3" t="inlineStr">
        <is>
          <t>กฎหมาย</t>
        </is>
      </c>
      <c r="C4" s="11" t="s">
        <v>9</v>
      </c>
      <c r="D4" s="12" t="s">
        <v>10</v>
      </c>
      <c r="E4" s="12" t="s">
        <v>11</v>
      </c>
      <c r="F4" s="13" t="s">
        <v>12</v>
      </c>
      <c r="G4" s="14" t="s">
        <v>13</v>
      </c>
      <c r="H4" s="14"/>
      <c r="I4" s="15" t="s">
        <v>14</v>
      </c>
      <c r="J4" s="15"/>
      <c r="K4" s="16" t="s">
        <v>9</v>
      </c>
      <c r="L4" s="16" t="s">
        <v>10</v>
      </c>
      <c r="M4" s="17" t="s">
        <v>11</v>
      </c>
      <c r="N4" s="18" t="s">
        <v>12</v>
      </c>
      <c r="O4" s="19" t="s">
        <v>13</v>
      </c>
      <c r="P4" s="19"/>
      <c r="Q4" s="20" t="s">
        <v>9</v>
      </c>
      <c r="R4" s="21" t="s">
        <v>10</v>
      </c>
      <c r="S4" s="22" t="s">
        <v>11</v>
      </c>
      <c r="T4" s="21" t="s">
        <v>12</v>
      </c>
      <c r="U4" s="23" t="s">
        <v>15</v>
      </c>
      <c r="V4" s="23"/>
      <c r="W4" s="24" t="s">
        <v>16</v>
      </c>
      <c r="X4" s="25" t="s">
        <v>17</v>
      </c>
      <c r="Y4" s="8"/>
      <c r="Z4" s="9"/>
      <c r="AA4" s="9"/>
    </row>
    <row r="5" customFormat="false" ht="19.7" hidden="false" customHeight="false" outlineLevel="0" collapsed="false">
      <c r="A5" s="3"/>
      <c r="B5" s="3"/>
      <c r="C5" s="11"/>
      <c r="D5" s="12"/>
      <c r="E5" s="12"/>
      <c r="F5" s="12"/>
      <c r="G5" s="26" t="s">
        <v>11</v>
      </c>
      <c r="H5" s="14" t="s">
        <v>18</v>
      </c>
      <c r="I5" s="15"/>
      <c r="J5" s="15"/>
      <c r="K5" s="16"/>
      <c r="L5" s="16"/>
      <c r="M5" s="16"/>
      <c r="N5" s="16"/>
      <c r="O5" s="17" t="s">
        <v>11</v>
      </c>
      <c r="P5" s="19" t="s">
        <v>18</v>
      </c>
      <c r="Q5" s="20"/>
      <c r="R5" s="21"/>
      <c r="S5" s="21"/>
      <c r="T5" s="21"/>
      <c r="U5" s="22" t="s">
        <v>11</v>
      </c>
      <c r="V5" s="23" t="s">
        <v>18</v>
      </c>
      <c r="W5" s="24"/>
      <c r="X5" s="25"/>
      <c r="Y5" s="8"/>
      <c r="Z5" s="9"/>
      <c r="AA5" s="9"/>
    </row>
    <row r="6" customFormat="false" ht="22.35" hidden="false" customHeight="false" outlineLevel="0" collapsed="false">
      <c r="A6" s="27" t="s">
        <v>19</v>
      </c>
      <c r="B6" s="27" t="s"/>
      <c r="C6" s="28" t="s">
        <v>20</v>
      </c>
      <c r="D6" s="29" t="s">
        <v>21</v>
      </c>
      <c r="E6" s="30" t="n">
        <v>8</v>
      </c>
      <c r="F6" s="31" t="n">
        <v>3720</v>
      </c>
      <c r="G6" s="29" t="n">
        <v>1</v>
      </c>
      <c r="H6" s="32" t="s">
        <v>22</v>
      </c>
      <c r="I6" s="33"/>
      <c r="J6" s="34"/>
      <c r="K6" s="34"/>
      <c r="L6" s="34"/>
      <c r="M6" s="34"/>
      <c r="N6" s="34"/>
      <c r="O6" s="34"/>
      <c r="P6" s="35"/>
      <c r="Q6" s="36" t="s">
        <v>23</v>
      </c>
      <c r="R6" s="37" t="s">
        <v>24</v>
      </c>
      <c r="S6" s="37" t="n">
        <v>11</v>
      </c>
      <c r="T6" s="38" t="n">
        <v>17892.61</v>
      </c>
      <c r="U6" s="37"/>
      <c r="V6" s="39"/>
      <c r="W6" s="40" t="n">
        <f aca="false">SUM(E6,S6)</f>
        <v>19</v>
      </c>
      <c r="X6" s="41" t="n">
        <f aca="false">SUM(F6,T6)</f>
        <v>21612.61</v>
      </c>
      <c r="Y6" s="42"/>
      <c r="Z6" s="43" t="n">
        <v>1795</v>
      </c>
      <c r="AA6" s="43" t="s">
        <v>25</v>
      </c>
    </row>
    <row r="7" customFormat="false" ht="22.35" hidden="false" customHeight="false" outlineLevel="0" collapsed="false">
      <c r="A7" s="27" t="s">
        <v>26</v>
      </c>
      <c r="B7" s="27" t="s"/>
      <c r="C7" s="28" t="s">
        <v>27</v>
      </c>
      <c r="D7" s="44" t="s">
        <v>28</v>
      </c>
      <c r="E7" s="30" t="n">
        <v>1</v>
      </c>
      <c r="F7" s="31" t="n">
        <v>700</v>
      </c>
      <c r="G7" s="44"/>
      <c r="H7" s="32"/>
      <c r="I7" s="33"/>
      <c r="J7" s="34"/>
      <c r="K7" s="34"/>
      <c r="L7" s="34"/>
      <c r="M7" s="34"/>
      <c r="N7" s="34"/>
      <c r="O7" s="34"/>
      <c r="P7" s="35"/>
      <c r="Q7" s="36" t="s">
        <v>29</v>
      </c>
      <c r="R7" s="37" t="s">
        <v>30</v>
      </c>
      <c r="S7" s="37" t="n">
        <v>3</v>
      </c>
      <c r="T7" s="38" t="n">
        <v>7399.67</v>
      </c>
      <c r="U7" s="37"/>
      <c r="V7" s="39"/>
      <c r="W7" s="40" t="n">
        <f aca="false">SUM(E7,S7)</f>
        <v>4</v>
      </c>
      <c r="X7" s="41" t="n">
        <f aca="false">SUM(F7,T7)</f>
        <v>8099.67</v>
      </c>
      <c r="Y7" s="42"/>
      <c r="Z7" s="43" t="n">
        <v>1715</v>
      </c>
      <c r="AA7" s="43" t="s">
        <v>31</v>
      </c>
    </row>
    <row r="8" customFormat="false" ht="22.35" hidden="false" customHeight="false" outlineLevel="0" collapsed="false">
      <c r="A8" s="27" t="s">
        <v>31</v>
      </c>
      <c r="B8" s="27" t="s"/>
      <c r="C8" s="45" t="s">
        <v>28</v>
      </c>
      <c r="D8" s="44" t="s">
        <v>28</v>
      </c>
      <c r="E8" s="30" t="s">
        <v>28</v>
      </c>
      <c r="F8" s="31" t="s">
        <v>28</v>
      </c>
      <c r="G8" s="44"/>
      <c r="H8" s="32"/>
      <c r="I8" s="33"/>
      <c r="J8" s="34"/>
      <c r="K8" s="34"/>
      <c r="L8" s="34"/>
      <c r="M8" s="34"/>
      <c r="N8" s="34"/>
      <c r="O8" s="34"/>
      <c r="P8" s="35"/>
      <c r="Q8" s="36" t="s">
        <v>32</v>
      </c>
      <c r="R8" s="46" t="s">
        <v>28</v>
      </c>
      <c r="S8" s="46" t="n">
        <v>1</v>
      </c>
      <c r="T8" s="38" t="n">
        <v>1215.81</v>
      </c>
      <c r="U8" s="46"/>
      <c r="V8" s="39"/>
      <c r="W8" s="40" t="n">
        <f aca="false">SUM(E8,S8)</f>
        <v>1</v>
      </c>
      <c r="X8" s="41" t="n">
        <f aca="false">SUM(F8,T8)</f>
        <v>1215.81</v>
      </c>
      <c r="Y8" s="42"/>
      <c r="Z8" s="43" t="n">
        <v>1722</v>
      </c>
      <c r="AA8" s="43" t="s">
        <v>33</v>
      </c>
    </row>
    <row r="9" customFormat="false" ht="22.35" hidden="false" customHeight="false" outlineLevel="0" collapsed="false">
      <c r="A9" s="27" t="s">
        <v>33</v>
      </c>
      <c r="B9" s="27" t="s"/>
      <c r="C9" s="28" t="s">
        <v>34</v>
      </c>
      <c r="D9" s="29" t="s">
        <v>35</v>
      </c>
      <c r="E9" s="30" t="n">
        <v>2</v>
      </c>
      <c r="F9" s="31" t="n">
        <v>2960</v>
      </c>
      <c r="G9" s="44"/>
      <c r="H9" s="32"/>
      <c r="I9" s="33"/>
      <c r="J9" s="34"/>
      <c r="K9" s="34"/>
      <c r="L9" s="34"/>
      <c r="M9" s="34"/>
      <c r="N9" s="34"/>
      <c r="O9" s="34"/>
      <c r="P9" s="35"/>
      <c r="Q9" s="36" t="s">
        <v>36</v>
      </c>
      <c r="R9" s="46" t="s">
        <v>28</v>
      </c>
      <c r="S9" s="46" t="n">
        <v>1</v>
      </c>
      <c r="T9" s="38" t="n">
        <v>1216.77</v>
      </c>
      <c r="U9" s="46"/>
      <c r="V9" s="39"/>
      <c r="W9" s="40" t="n">
        <f aca="false">SUM(E9,S9)</f>
        <v>3</v>
      </c>
      <c r="X9" s="41" t="n">
        <f aca="false">SUM(F9,T9)</f>
        <v>4176.77</v>
      </c>
      <c r="Y9" s="42"/>
      <c r="Z9" s="43" t="n">
        <v>1728</v>
      </c>
      <c r="AA9" s="43" t="s">
        <v>37</v>
      </c>
    </row>
    <row r="10" customFormat="false" ht="22.35" hidden="false" customHeight="false" outlineLevel="0" collapsed="false">
      <c r="A10" s="27" t="s">
        <v>37</v>
      </c>
      <c r="B10" s="27" t="s"/>
      <c r="C10" s="28" t="s">
        <v>38</v>
      </c>
      <c r="D10" s="44" t="s">
        <v>28</v>
      </c>
      <c r="E10" s="30" t="n">
        <v>1</v>
      </c>
      <c r="F10" s="31" t="n">
        <v>500</v>
      </c>
      <c r="G10" s="44"/>
      <c r="H10" s="32"/>
      <c r="I10" s="33"/>
      <c r="J10" s="34"/>
      <c r="K10" s="34"/>
      <c r="L10" s="34"/>
      <c r="M10" s="34"/>
      <c r="N10" s="34"/>
      <c r="O10" s="34"/>
      <c r="P10" s="35"/>
      <c r="Q10" s="36" t="s">
        <v>39</v>
      </c>
      <c r="R10" s="37" t="s">
        <v>40</v>
      </c>
      <c r="S10" s="46" t="n">
        <v>3</v>
      </c>
      <c r="T10" s="38" t="n">
        <v>8904.22</v>
      </c>
      <c r="U10" s="46"/>
      <c r="V10" s="39"/>
      <c r="W10" s="40" t="n">
        <f aca="false">SUM(E10,S10)</f>
        <v>4</v>
      </c>
      <c r="X10" s="41" t="n">
        <f aca="false">SUM(F10,T10)</f>
        <v>9404.22</v>
      </c>
      <c r="Y10" s="42"/>
      <c r="Z10" s="43" t="n">
        <v>1735</v>
      </c>
      <c r="AA10" s="43" t="s">
        <v>41</v>
      </c>
    </row>
    <row r="11" customFormat="false" ht="22.35" hidden="false" customHeight="false" outlineLevel="0" collapsed="false">
      <c r="A11" s="27" t="s">
        <v>41</v>
      </c>
      <c r="B11" s="27" t="s"/>
      <c r="C11" s="45" t="s">
        <v>28</v>
      </c>
      <c r="D11" s="44" t="s">
        <v>28</v>
      </c>
      <c r="E11" s="44" t="s">
        <v>28</v>
      </c>
      <c r="F11" s="44" t="s">
        <v>28</v>
      </c>
      <c r="G11" s="44"/>
      <c r="H11" s="32"/>
      <c r="I11" s="33"/>
      <c r="J11" s="34"/>
      <c r="K11" s="34"/>
      <c r="L11" s="34"/>
      <c r="M11" s="34"/>
      <c r="N11" s="34"/>
      <c r="O11" s="34"/>
      <c r="P11" s="35"/>
      <c r="Q11" s="36" t="s">
        <v>42</v>
      </c>
      <c r="R11" s="46" t="s">
        <v>28</v>
      </c>
      <c r="S11" s="46" t="n">
        <v>1</v>
      </c>
      <c r="T11" s="38" t="n">
        <v>1218.71</v>
      </c>
      <c r="U11" s="46"/>
      <c r="V11" s="39"/>
      <c r="W11" s="40" t="n">
        <f aca="false">SUM(E11,S11)</f>
        <v>1</v>
      </c>
      <c r="X11" s="47" t="n">
        <f aca="false">SUM(F11,T11)</f>
        <v>1218.71</v>
      </c>
      <c r="Y11" s="42"/>
      <c r="Z11" s="43" t="n">
        <v>1741</v>
      </c>
      <c r="AA11" s="43" t="s">
        <v>43</v>
      </c>
    </row>
    <row r="12" customFormat="false" ht="22.35" hidden="false" customHeight="false" outlineLevel="0" collapsed="false">
      <c r="A12" s="27" t="s">
        <v>44</v>
      </c>
      <c r="B12" s="27" t="s"/>
      <c r="C12" s="28" t="s">
        <v>45</v>
      </c>
      <c r="D12" s="44"/>
      <c r="E12" s="30" t="n">
        <v>1</v>
      </c>
      <c r="F12" s="31" t="n">
        <v>200</v>
      </c>
      <c r="G12" s="44"/>
      <c r="H12" s="32"/>
      <c r="I12" s="33"/>
      <c r="J12" s="34"/>
      <c r="K12" s="34"/>
      <c r="L12" s="34"/>
      <c r="M12" s="34"/>
      <c r="N12" s="34"/>
      <c r="O12" s="34"/>
      <c r="P12" s="35"/>
      <c r="Q12" s="36" t="s">
        <v>46</v>
      </c>
      <c r="R12" s="46" t="s">
        <v>28</v>
      </c>
      <c r="S12" s="46" t="n">
        <v>1</v>
      </c>
      <c r="T12" s="38" t="n">
        <v>1579.68</v>
      </c>
      <c r="U12" s="46"/>
      <c r="V12" s="39"/>
      <c r="W12" s="40" t="n">
        <f aca="false">SUM(E12,S12)</f>
        <v>2</v>
      </c>
      <c r="X12" s="41" t="n">
        <f aca="false">SUM(F12,T12)</f>
        <v>1779.68</v>
      </c>
      <c r="Y12" s="42"/>
      <c r="Z12" s="43" t="n">
        <v>1749</v>
      </c>
      <c r="AA12" s="43" t="s">
        <v>47</v>
      </c>
    </row>
    <row r="13" customFormat="false" ht="22.35" hidden="false" customHeight="false" outlineLevel="0" collapsed="false">
      <c r="A13" s="27" t="s">
        <v>47</v>
      </c>
      <c r="B13" s="27" t="s"/>
      <c r="C13" s="45" t="s">
        <v>28</v>
      </c>
      <c r="D13" s="44" t="s">
        <v>28</v>
      </c>
      <c r="E13" s="44" t="s">
        <v>28</v>
      </c>
      <c r="F13" s="44" t="s">
        <v>28</v>
      </c>
      <c r="G13" s="44"/>
      <c r="H13" s="32"/>
      <c r="I13" s="33"/>
      <c r="J13" s="34"/>
      <c r="K13" s="34"/>
      <c r="L13" s="34"/>
      <c r="M13" s="34"/>
      <c r="N13" s="34"/>
      <c r="O13" s="34"/>
      <c r="P13" s="35"/>
      <c r="Q13" s="36" t="s">
        <v>48</v>
      </c>
      <c r="R13" s="37" t="s">
        <v>49</v>
      </c>
      <c r="S13" s="46" t="n">
        <v>3</v>
      </c>
      <c r="T13" s="38" t="n">
        <v>4030.65</v>
      </c>
      <c r="U13" s="46"/>
      <c r="V13" s="39"/>
      <c r="W13" s="40" t="n">
        <f aca="false">SUM(E13,S13)</f>
        <v>3</v>
      </c>
      <c r="X13" s="47" t="n">
        <f aca="false">SUM(F13,T13)</f>
        <v>4030.65</v>
      </c>
      <c r="Y13" s="42"/>
      <c r="Z13" s="43" t="n">
        <v>1755</v>
      </c>
      <c r="AA13" s="43" t="s">
        <v>50</v>
      </c>
    </row>
    <row r="14" customFormat="false" ht="22.35" hidden="false" customHeight="false" outlineLevel="0" collapsed="false">
      <c r="A14" s="27" t="s">
        <v>50</v>
      </c>
      <c r="B14" s="27" t="s"/>
      <c r="C14" s="28" t="s">
        <v>51</v>
      </c>
      <c r="D14" s="29" t="s">
        <v>52</v>
      </c>
      <c r="E14" s="30" t="n">
        <v>3</v>
      </c>
      <c r="F14" s="31" t="n">
        <v>900</v>
      </c>
      <c r="G14" s="44"/>
      <c r="H14" s="32"/>
      <c r="I14" s="33"/>
      <c r="J14" s="34"/>
      <c r="K14" s="34"/>
      <c r="L14" s="48"/>
      <c r="M14" s="34"/>
      <c r="N14" s="34"/>
      <c r="O14" s="34"/>
      <c r="P14" s="35"/>
      <c r="Q14" s="36" t="s">
        <v>53</v>
      </c>
      <c r="R14" s="46"/>
      <c r="S14" s="46" t="n">
        <v>1</v>
      </c>
      <c r="T14" s="38" t="n">
        <v>200</v>
      </c>
      <c r="U14" s="46"/>
      <c r="V14" s="39"/>
      <c r="W14" s="40" t="n">
        <f aca="false">SUM(E14,S14)</f>
        <v>4</v>
      </c>
      <c r="X14" s="41" t="n">
        <f aca="false">SUM(F14,T14)</f>
        <v>1100</v>
      </c>
      <c r="Y14" s="42"/>
      <c r="Z14" s="43" t="n">
        <v>1761</v>
      </c>
      <c r="AA14" s="43" t="s">
        <v>54</v>
      </c>
    </row>
    <row r="15" customFormat="false" ht="22.35" hidden="false" customHeight="false" outlineLevel="0" collapsed="false">
      <c r="A15" s="27" t="s">
        <v>54</v>
      </c>
      <c r="B15" s="27" t="s"/>
      <c r="C15" s="28" t="s">
        <v>55</v>
      </c>
      <c r="D15" s="44" t="s">
        <v>28</v>
      </c>
      <c r="E15" s="30" t="n">
        <v>1</v>
      </c>
      <c r="F15" s="31" t="n">
        <v>620</v>
      </c>
      <c r="G15" s="44"/>
      <c r="H15" s="32"/>
      <c r="I15" s="33"/>
      <c r="J15" s="34"/>
      <c r="K15" s="34"/>
      <c r="L15" s="48"/>
      <c r="M15" s="34"/>
      <c r="N15" s="34"/>
      <c r="O15" s="34"/>
      <c r="P15" s="35"/>
      <c r="Q15" s="36" t="s">
        <v>56</v>
      </c>
      <c r="R15" s="46"/>
      <c r="S15" s="46" t="n">
        <v>1</v>
      </c>
      <c r="T15" s="38" t="n">
        <v>1225.48</v>
      </c>
      <c r="U15" s="46"/>
      <c r="V15" s="39"/>
      <c r="W15" s="40" t="n">
        <f aca="false">SUM(E15,S15)</f>
        <v>2</v>
      </c>
      <c r="X15" s="41" t="n">
        <f aca="false">SUM(F15,T15)</f>
        <v>1845.48</v>
      </c>
      <c r="Y15" s="42"/>
      <c r="Z15" s="43" t="n">
        <v>1770</v>
      </c>
      <c r="AA15" s="43" t="s">
        <v>57</v>
      </c>
    </row>
    <row r="16" customFormat="false" ht="22.35" hidden="false" customHeight="false" outlineLevel="0" collapsed="false">
      <c r="A16" s="27" t="s">
        <v>58</v>
      </c>
      <c r="B16" s="27" t="s"/>
      <c r="C16" s="28" t="s">
        <v>59</v>
      </c>
      <c r="D16" s="29" t="s">
        <v>60</v>
      </c>
      <c r="E16" s="30" t="n">
        <v>3</v>
      </c>
      <c r="F16" s="31" t="n">
        <v>4300</v>
      </c>
      <c r="G16" s="44"/>
      <c r="H16" s="32"/>
      <c r="I16" s="33"/>
      <c r="J16" s="34"/>
      <c r="K16" s="34"/>
      <c r="L16" s="34"/>
      <c r="M16" s="34"/>
      <c r="N16" s="34"/>
      <c r="O16" s="34"/>
      <c r="P16" s="35"/>
      <c r="Q16" s="49" t="s">
        <v>28</v>
      </c>
      <c r="R16" s="46" t="s">
        <v>28</v>
      </c>
      <c r="S16" s="46" t="s">
        <v>28</v>
      </c>
      <c r="T16" s="50" t="s">
        <v>28</v>
      </c>
      <c r="U16" s="46"/>
      <c r="V16" s="39"/>
      <c r="W16" s="40" t="n">
        <f aca="false">SUM(E16,S16)</f>
        <v>3</v>
      </c>
      <c r="X16" s="41" t="n">
        <f aca="false">SUM(F16,T16)</f>
        <v>4300</v>
      </c>
      <c r="Y16" s="42"/>
      <c r="Z16" s="43" t="n">
        <v>1774</v>
      </c>
      <c r="AA16" s="43" t="s">
        <v>61</v>
      </c>
    </row>
    <row r="17" customFormat="false" ht="22.35" hidden="false" customHeight="false" outlineLevel="0" collapsed="false">
      <c r="A17" s="27" t="s">
        <v>61</v>
      </c>
      <c r="B17" s="27" t="s"/>
      <c r="C17" s="45" t="s">
        <v>28</v>
      </c>
      <c r="D17" s="44" t="s">
        <v>28</v>
      </c>
      <c r="E17" s="44" t="s">
        <v>28</v>
      </c>
      <c r="F17" s="44" t="s">
        <v>28</v>
      </c>
      <c r="G17" s="44"/>
      <c r="H17" s="32"/>
      <c r="I17" s="33"/>
      <c r="J17" s="34"/>
      <c r="K17" s="34"/>
      <c r="L17" s="34"/>
      <c r="M17" s="34"/>
      <c r="N17" s="34"/>
      <c r="O17" s="34"/>
      <c r="P17" s="35"/>
      <c r="Q17" s="36" t="s">
        <v>62</v>
      </c>
      <c r="R17" s="37" t="s">
        <v>63</v>
      </c>
      <c r="S17" s="46" t="n">
        <v>4</v>
      </c>
      <c r="T17" s="38" t="n">
        <v>8974.28</v>
      </c>
      <c r="U17" s="46"/>
      <c r="V17" s="39"/>
      <c r="W17" s="40" t="n">
        <f aca="false">SUM(E17,S17)</f>
        <v>4</v>
      </c>
      <c r="X17" s="47" t="n">
        <f aca="false">SUM(F17,T17)</f>
        <v>8974.28</v>
      </c>
      <c r="Y17" s="42"/>
      <c r="Z17" s="43" t="n">
        <v>1780</v>
      </c>
      <c r="AA17" s="43" t="s">
        <v>64</v>
      </c>
    </row>
    <row r="18" customFormat="false" ht="22.35" hidden="false" customHeight="false" outlineLevel="0" collapsed="false">
      <c r="A18" s="27" t="s">
        <v>64</v>
      </c>
      <c r="B18" s="27" t="s"/>
      <c r="C18" s="28" t="s">
        <v>65</v>
      </c>
      <c r="D18" s="44" t="s">
        <v>28</v>
      </c>
      <c r="E18" s="30" t="n">
        <v>1</v>
      </c>
      <c r="F18" s="31" t="n">
        <v>200</v>
      </c>
      <c r="G18" s="44"/>
      <c r="H18" s="32"/>
      <c r="I18" s="33"/>
      <c r="J18" s="34"/>
      <c r="K18" s="34"/>
      <c r="L18" s="34"/>
      <c r="M18" s="34"/>
      <c r="N18" s="34"/>
      <c r="O18" s="34"/>
      <c r="P18" s="35"/>
      <c r="Q18" s="36" t="s">
        <v>66</v>
      </c>
      <c r="R18" s="37" t="s">
        <v>67</v>
      </c>
      <c r="S18" s="46" t="n">
        <v>2</v>
      </c>
      <c r="T18" s="38" t="n">
        <v>2030.32</v>
      </c>
      <c r="U18" s="46"/>
      <c r="V18" s="39"/>
      <c r="W18" s="40" t="n">
        <f aca="false">SUM(E18,S18)</f>
        <v>3</v>
      </c>
      <c r="X18" s="41" t="n">
        <f aca="false">SUM(F18,T18)</f>
        <v>2230.32</v>
      </c>
      <c r="Y18" s="42"/>
      <c r="Z18" s="43" t="n">
        <v>1787</v>
      </c>
      <c r="AA18" s="43" t="s">
        <v>68</v>
      </c>
    </row>
    <row r="19" customFormat="false" ht="22.35" hidden="false" customHeight="false" outlineLevel="0" collapsed="false">
      <c r="A19" s="27" t="s">
        <v>69</v>
      </c>
      <c r="B19" s="27" t="s"/>
      <c r="C19" s="45" t="s">
        <v>28</v>
      </c>
      <c r="D19" s="44" t="s">
        <v>28</v>
      </c>
      <c r="E19" s="44" t="s">
        <v>28</v>
      </c>
      <c r="F19" s="44" t="s">
        <v>28</v>
      </c>
      <c r="G19" s="44"/>
      <c r="H19" s="32"/>
      <c r="I19" s="33"/>
      <c r="J19" s="34"/>
      <c r="K19" s="34"/>
      <c r="L19" s="34"/>
      <c r="M19" s="34"/>
      <c r="N19" s="34"/>
      <c r="O19" s="34"/>
      <c r="P19" s="35"/>
      <c r="Q19" s="36" t="s">
        <v>70</v>
      </c>
      <c r="R19" s="37" t="s">
        <v>71</v>
      </c>
      <c r="S19" s="46" t="n">
        <v>5</v>
      </c>
      <c r="T19" s="38" t="n">
        <v>8988.42</v>
      </c>
      <c r="U19" s="46"/>
      <c r="V19" s="39"/>
      <c r="W19" s="40" t="n">
        <f aca="false">SUM(E19,S19)</f>
        <v>5</v>
      </c>
      <c r="X19" s="47" t="n">
        <f aca="false">SUM(F19,T19)</f>
        <v>8988.42</v>
      </c>
      <c r="Y19" s="42"/>
      <c r="Z19" s="43" t="n">
        <v>1795</v>
      </c>
      <c r="AA19" s="43" t="s">
        <v>72</v>
      </c>
    </row>
    <row r="20" customFormat="false" ht="22.35" hidden="false" customHeight="false" outlineLevel="0" collapsed="false">
      <c r="A20" s="27" t="s">
        <v>73</v>
      </c>
      <c r="B20" s="27" t="s"/>
      <c r="C20" s="29" t="s">
        <v>74</v>
      </c>
      <c r="D20" s="29" t="s">
        <v>75</v>
      </c>
      <c r="E20" s="30" t="n">
        <v>2</v>
      </c>
      <c r="F20" s="31" t="n">
        <v>900</v>
      </c>
      <c r="G20" s="44"/>
      <c r="H20" s="32"/>
      <c r="I20" s="33"/>
      <c r="J20" s="34"/>
      <c r="K20" s="34"/>
      <c r="L20" s="34"/>
      <c r="M20" s="34"/>
      <c r="N20" s="34"/>
      <c r="O20" s="34"/>
      <c r="P20" s="35"/>
      <c r="Q20" s="36" t="s">
        <v>76</v>
      </c>
      <c r="R20" s="37" t="s">
        <v>77</v>
      </c>
      <c r="S20" s="46" t="n">
        <v>6</v>
      </c>
      <c r="T20" s="38" t="n">
        <v>8266.15</v>
      </c>
      <c r="U20" s="46"/>
      <c r="V20" s="39"/>
      <c r="W20" s="40" t="n">
        <f aca="false">SUM(E20,S20)</f>
        <v>8</v>
      </c>
      <c r="X20" s="41" t="n">
        <f aca="false">SUM(F20,T20)</f>
        <v>9166.15</v>
      </c>
      <c r="Y20" s="42"/>
      <c r="Z20" s="43" t="n">
        <v>1802</v>
      </c>
      <c r="AA20" s="43" t="s">
        <v>78</v>
      </c>
    </row>
    <row r="21" customFormat="false" ht="22.35" hidden="false" customHeight="false" outlineLevel="0" collapsed="false">
      <c r="A21" s="27" t="s">
        <v>78</v>
      </c>
      <c r="B21" s="27" t="s"/>
      <c r="C21" s="29" t="s">
        <v>79</v>
      </c>
      <c r="D21" s="29" t="s">
        <v>80</v>
      </c>
      <c r="E21" s="30" t="n">
        <v>2</v>
      </c>
      <c r="F21" s="31" t="n">
        <v>700</v>
      </c>
      <c r="G21" s="44"/>
      <c r="H21" s="32"/>
      <c r="I21" s="33"/>
      <c r="J21" s="34"/>
      <c r="K21" s="34"/>
      <c r="L21" s="34"/>
      <c r="M21" s="34"/>
      <c r="N21" s="34"/>
      <c r="O21" s="34"/>
      <c r="P21" s="35"/>
      <c r="Q21" s="46" t="s">
        <v>28</v>
      </c>
      <c r="R21" s="46" t="s">
        <v>28</v>
      </c>
      <c r="S21" s="46" t="s">
        <v>28</v>
      </c>
      <c r="T21" s="50" t="s">
        <v>28</v>
      </c>
      <c r="U21" s="46"/>
      <c r="V21" s="39"/>
      <c r="W21" s="40" t="n">
        <f aca="false">SUM(E21,S21)</f>
        <v>2</v>
      </c>
      <c r="X21" s="41" t="n">
        <f aca="false">SUM(F21,T21)</f>
        <v>700</v>
      </c>
      <c r="Y21" s="42"/>
      <c r="Z21" s="43" t="n">
        <v>1808</v>
      </c>
      <c r="AA21" s="43" t="s">
        <v>81</v>
      </c>
    </row>
    <row r="22" customFormat="false" ht="22.35" hidden="false" customHeight="false" outlineLevel="0" collapsed="false">
      <c r="A22" s="27" t="s">
        <v>82</v>
      </c>
      <c r="B22" s="27" t="s"/>
      <c r="C22" s="29" t="s">
        <v>83</v>
      </c>
      <c r="D22" s="44" t="s">
        <v>28</v>
      </c>
      <c r="E22" s="30" t="n">
        <v>1</v>
      </c>
      <c r="F22" s="31" t="n">
        <v>600</v>
      </c>
      <c r="G22" s="44"/>
      <c r="H22" s="32"/>
      <c r="I22" s="33"/>
      <c r="J22" s="34"/>
      <c r="K22" s="34"/>
      <c r="L22" s="34"/>
      <c r="M22" s="34"/>
      <c r="N22" s="34"/>
      <c r="O22" s="34"/>
      <c r="P22" s="35"/>
      <c r="Q22" s="49" t="s">
        <v>28</v>
      </c>
      <c r="R22" s="46" t="s">
        <v>28</v>
      </c>
      <c r="S22" s="46" t="s">
        <v>28</v>
      </c>
      <c r="T22" s="38" t="s">
        <v>28</v>
      </c>
      <c r="U22" s="46"/>
      <c r="V22" s="39"/>
      <c r="W22" s="40" t="n">
        <f aca="false">SUM(E22,S22)</f>
        <v>1</v>
      </c>
      <c r="X22" s="41" t="n">
        <f aca="false">SUM(F22,T22)</f>
        <v>600</v>
      </c>
      <c r="Y22" s="42"/>
      <c r="Z22" s="43" t="n">
        <v>1815</v>
      </c>
      <c r="AA22" s="43" t="s">
        <v>84</v>
      </c>
    </row>
    <row r="23" customFormat="false" ht="22.35" hidden="false" customHeight="false" outlineLevel="0" collapsed="false">
      <c r="A23" s="27" t="s">
        <v>85</v>
      </c>
      <c r="B23" s="27" t="s"/>
      <c r="C23" s="29" t="s">
        <v>86</v>
      </c>
      <c r="D23" s="44" t="s">
        <v>28</v>
      </c>
      <c r="E23" s="30" t="n">
        <v>1</v>
      </c>
      <c r="F23" s="31" t="n">
        <v>200</v>
      </c>
      <c r="G23" s="44"/>
      <c r="H23" s="32"/>
      <c r="I23" s="33"/>
      <c r="J23" s="34"/>
      <c r="K23" s="34"/>
      <c r="L23" s="34"/>
      <c r="M23" s="34"/>
      <c r="N23" s="34"/>
      <c r="O23" s="34"/>
      <c r="P23" s="35"/>
      <c r="Q23" s="37" t="s">
        <v>87</v>
      </c>
      <c r="R23" s="46" t="s">
        <v>28</v>
      </c>
      <c r="S23" s="46" t="n">
        <v>1</v>
      </c>
      <c r="T23" s="38" t="n">
        <v>1238.06</v>
      </c>
      <c r="U23" s="46"/>
      <c r="V23" s="39"/>
      <c r="W23" s="40" t="n">
        <f aca="false">SUM(E23,S23)</f>
        <v>2</v>
      </c>
      <c r="X23" s="41" t="n">
        <f aca="false">SUM(F23,T23)</f>
        <v>1438.06</v>
      </c>
      <c r="Y23" s="42"/>
      <c r="Z23" s="43" t="n">
        <v>1822</v>
      </c>
      <c r="AA23" s="43" t="s">
        <v>88</v>
      </c>
    </row>
    <row r="24" customFormat="false" ht="22.35" hidden="false" customHeight="false" outlineLevel="0" collapsed="false">
      <c r="A24" s="27" t="s">
        <v>89</v>
      </c>
      <c r="B24" s="27" t="s"/>
      <c r="C24" s="29" t="s">
        <v>90</v>
      </c>
      <c r="D24" s="29" t="s">
        <v>91</v>
      </c>
      <c r="E24" s="30" t="n">
        <v>3</v>
      </c>
      <c r="F24" s="31" t="n">
        <v>600</v>
      </c>
      <c r="G24" s="44"/>
      <c r="H24" s="32"/>
      <c r="I24" s="33"/>
      <c r="J24" s="34"/>
      <c r="K24" s="34"/>
      <c r="L24" s="34"/>
      <c r="M24" s="34"/>
      <c r="N24" s="34"/>
      <c r="O24" s="34"/>
      <c r="P24" s="35"/>
      <c r="Q24" s="37" t="s">
        <v>92</v>
      </c>
      <c r="R24" s="37" t="s">
        <v>93</v>
      </c>
      <c r="S24" s="46" t="n">
        <v>3</v>
      </c>
      <c r="T24" s="38" t="n">
        <v>5080.03</v>
      </c>
      <c r="U24" s="46"/>
      <c r="V24" s="39"/>
      <c r="W24" s="40" t="n">
        <f aca="false">SUM(E24,S24)</f>
        <v>6</v>
      </c>
      <c r="X24" s="41" t="n">
        <f aca="false">SUM(F24,T24)</f>
        <v>5680.03</v>
      </c>
      <c r="Y24" s="42"/>
      <c r="Z24" s="43" t="n">
        <v>1830</v>
      </c>
      <c r="AA24" s="43" t="s">
        <v>94</v>
      </c>
    </row>
    <row r="25" customFormat="false" ht="22.35" hidden="true" customHeight="false" outlineLevel="0" collapsed="false">
      <c r="A25" s="51" t="s">
        <v>95</v>
      </c>
      <c r="B25" s="51" t="s"/>
      <c r="C25" s="52"/>
      <c r="D25" s="53"/>
      <c r="E25" s="54"/>
      <c r="F25" s="55"/>
      <c r="G25" s="53"/>
      <c r="H25" s="56"/>
      <c r="I25" s="57"/>
      <c r="J25" s="58"/>
      <c r="K25" s="58"/>
      <c r="L25" s="58"/>
      <c r="M25" s="58"/>
      <c r="N25" s="58"/>
      <c r="O25" s="58"/>
      <c r="P25" s="59"/>
      <c r="Q25" s="60"/>
      <c r="R25" s="61"/>
      <c r="S25" s="61"/>
      <c r="T25" s="62"/>
      <c r="U25" s="61"/>
      <c r="V25" s="63"/>
      <c r="W25" s="40" t="n">
        <f aca="false">SUM(E25,S25)</f>
        <v>0</v>
      </c>
      <c r="X25" s="41" t="n">
        <f aca="false">SUM(F25,T25)</f>
        <v>0</v>
      </c>
      <c r="Y25" s="64"/>
      <c r="Z25" s="65"/>
      <c r="AA25" s="65"/>
    </row>
    <row r="26" customFormat="false" ht="19.7" hidden="false" customHeight="false" outlineLevel="0" collapsed="false">
      <c r="A26" s="66" t="s">
        <v>96</v>
      </c>
      <c r="B26" s="66" t="s"/>
      <c r="C26" s="66"/>
      <c r="D26" s="66"/>
      <c r="E26" s="67" t="n">
        <f aca="false">SUM(E6:E25)</f>
        <v>30</v>
      </c>
      <c r="F26" s="68" t="n">
        <f aca="false">SUM(F6:F25)</f>
        <v>17100</v>
      </c>
      <c r="G26" s="69"/>
      <c r="H26" s="70"/>
      <c r="I26" s="71" t="s">
        <v>96</v>
      </c>
      <c r="J26" s="71"/>
      <c r="K26" s="71"/>
      <c r="L26" s="71"/>
      <c r="M26" s="69"/>
      <c r="N26" s="69"/>
      <c r="O26" s="69"/>
      <c r="P26" s="70"/>
      <c r="Q26" s="71" t="s">
        <v>96</v>
      </c>
      <c r="R26" s="71"/>
      <c r="S26" s="72" t="n">
        <f aca="false">SUM(S6:S25)</f>
        <v>47</v>
      </c>
      <c r="T26" s="73" t="n">
        <f aca="false">SUM(T6:T25)</f>
        <v>79460.86</v>
      </c>
      <c r="U26" s="69" t="n">
        <f aca="false">SUM(U6:U25)</f>
        <v>0</v>
      </c>
      <c r="V26" s="70" t="n">
        <f aca="false">SUM(V6:V25)</f>
        <v>0</v>
      </c>
      <c r="W26" s="74" t="n">
        <f aca="false">SUM(W6:W25)</f>
        <v>77</v>
      </c>
      <c r="X26" s="75" t="n">
        <f aca="false">SUM(X6:X25)</f>
        <v>96560.86</v>
      </c>
      <c r="Y26" s="76"/>
      <c r="Z26" s="69"/>
      <c r="AA26" s="70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30">
    <mergeCell ref="A1:AA1"/>
    <mergeCell ref="A3:A5"/>
    <mergeCell ref="C3:H3"/>
    <mergeCell ref="I3:P3"/>
    <mergeCell ref="Q3:V3"/>
    <mergeCell ref="W3:X3"/>
    <mergeCell ref="Y3:Y5"/>
    <mergeCell ref="Z3:Z5"/>
    <mergeCell ref="AA3:AA5"/>
    <mergeCell ref="C4:C5"/>
    <mergeCell ref="D4:D5"/>
    <mergeCell ref="E4:E5"/>
    <mergeCell ref="F4:F5"/>
    <mergeCell ref="G4:H4"/>
    <mergeCell ref="I4:J5"/>
    <mergeCell ref="K4:K5"/>
    <mergeCell ref="L4:L5"/>
    <mergeCell ref="M4:M5"/>
    <mergeCell ref="N4:N5"/>
    <mergeCell ref="O4:P4"/>
    <mergeCell ref="Q4:Q5"/>
    <mergeCell ref="R4:R5"/>
    <mergeCell ref="S4:S5"/>
    <mergeCell ref="T4:T5"/>
    <mergeCell ref="U4:V4"/>
    <mergeCell ref="W4:W5"/>
    <mergeCell ref="X4:X5"/>
    <mergeCell ref="A26:D26"/>
    <mergeCell ref="I26:L26"/>
    <mergeCell ref="Q26:R26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false">
    <outlinePr summaryBelow="0"/>
    <pageSetUpPr fitToPage="true"/>
  </sheetPr>
  <dimension ref="A1:AA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7.25"/>
    <col collapsed="false" customWidth="true" hidden="false" outlineLevel="0" style="0" width="17.25" min="2" max="2"/>
    <col collapsed="false" customWidth="true" hidden="false" outlineLevel="0" max="7" min="7" style="0" width="14.63"/>
    <col collapsed="false" customWidth="true" hidden="false" outlineLevel="0" max="8" min="8" style="0" width="17.5"/>
    <col collapsed="false" customWidth="false" hidden="true" outlineLevel="0" max="16" min="9" style="0" width="12.63"/>
    <col collapsed="false" customWidth="true" hidden="false" outlineLevel="0" max="23" min="23" style="0" width="14.88"/>
    <col collapsed="false" customWidth="true" hidden="false" outlineLevel="0" max="24" min="24" style="0" width="12.5"/>
  </cols>
  <sheetData>
    <row r="1" customFormat="false" ht="26.1" hidden="false" customHeight="false" outlineLevel="0" collapsed="false">
      <c r="A1" s="1" t="s">
        <v>97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2.35" hidden="false" customHeight="true" outlineLevel="0" collapsed="false">
      <c r="A3" s="3" t="s">
        <v>1</v>
      </c>
      <c r="B3" s="3" t="inlineStr">
        <is>
          <t>ข้อมูลกฎหมาย</t>
        </is>
      </c>
      <c r="C3" s="4" t="s">
        <v>2</v>
      </c>
      <c r="D3" s="4"/>
      <c r="E3" s="4"/>
      <c r="F3" s="4"/>
      <c r="G3" s="4"/>
      <c r="H3" s="4"/>
      <c r="I3" s="5" t="s">
        <v>3</v>
      </c>
      <c r="J3" s="5"/>
      <c r="K3" s="5"/>
      <c r="L3" s="5"/>
      <c r="M3" s="5"/>
      <c r="N3" s="5"/>
      <c r="O3" s="5"/>
      <c r="P3" s="5"/>
      <c r="Q3" s="6" t="s">
        <v>4</v>
      </c>
      <c r="R3" s="6"/>
      <c r="S3" s="6"/>
      <c r="T3" s="6"/>
      <c r="U3" s="6"/>
      <c r="V3" s="6"/>
      <c r="W3" s="7" t="s">
        <v>5</v>
      </c>
      <c r="X3" s="7"/>
      <c r="Y3" s="8" t="s">
        <v>6</v>
      </c>
      <c r="Z3" s="9" t="s">
        <v>7</v>
      </c>
      <c r="AA3" s="10" t="s">
        <v>8</v>
      </c>
    </row>
    <row r="4" customFormat="false" ht="22.35" hidden="false" customHeight="false" outlineLevel="0" collapsed="false">
      <c r="A4" s="3"/>
      <c r="B4" s="3" t="inlineStr">
        <is>
          <t>กฎหมาย</t>
        </is>
      </c>
      <c r="C4" s="11" t="s">
        <v>9</v>
      </c>
      <c r="D4" s="12" t="s">
        <v>10</v>
      </c>
      <c r="E4" s="12" t="s">
        <v>11</v>
      </c>
      <c r="F4" s="13" t="s">
        <v>12</v>
      </c>
      <c r="G4" s="14" t="s">
        <v>13</v>
      </c>
      <c r="H4" s="14"/>
      <c r="I4" s="15" t="s">
        <v>14</v>
      </c>
      <c r="J4" s="15"/>
      <c r="K4" s="16" t="s">
        <v>9</v>
      </c>
      <c r="L4" s="16" t="s">
        <v>10</v>
      </c>
      <c r="M4" s="17" t="s">
        <v>11</v>
      </c>
      <c r="N4" s="18" t="s">
        <v>12</v>
      </c>
      <c r="O4" s="19" t="s">
        <v>13</v>
      </c>
      <c r="P4" s="19"/>
      <c r="Q4" s="20" t="s">
        <v>9</v>
      </c>
      <c r="R4" s="21" t="s">
        <v>10</v>
      </c>
      <c r="S4" s="22" t="s">
        <v>11</v>
      </c>
      <c r="T4" s="21" t="s">
        <v>12</v>
      </c>
      <c r="U4" s="23" t="s">
        <v>15</v>
      </c>
      <c r="V4" s="23"/>
      <c r="W4" s="24" t="s">
        <v>16</v>
      </c>
      <c r="X4" s="25" t="s">
        <v>17</v>
      </c>
      <c r="Y4" s="8"/>
      <c r="Z4" s="9"/>
      <c r="AA4" s="9"/>
    </row>
    <row r="5" customFormat="false" ht="19.7" hidden="false" customHeight="false" outlineLevel="0" collapsed="false">
      <c r="A5" s="3"/>
      <c r="B5" s="3"/>
      <c r="C5" s="11"/>
      <c r="D5" s="12"/>
      <c r="E5" s="12"/>
      <c r="F5" s="12"/>
      <c r="G5" s="26" t="s">
        <v>11</v>
      </c>
      <c r="H5" s="14" t="s">
        <v>18</v>
      </c>
      <c r="I5" s="15"/>
      <c r="J5" s="15"/>
      <c r="K5" s="16"/>
      <c r="L5" s="16"/>
      <c r="M5" s="16"/>
      <c r="N5" s="16"/>
      <c r="O5" s="17" t="s">
        <v>11</v>
      </c>
      <c r="P5" s="19" t="s">
        <v>18</v>
      </c>
      <c r="Q5" s="20"/>
      <c r="R5" s="21"/>
      <c r="S5" s="21"/>
      <c r="T5" s="21"/>
      <c r="U5" s="22" t="s">
        <v>11</v>
      </c>
      <c r="V5" s="23" t="s">
        <v>18</v>
      </c>
      <c r="W5" s="24"/>
      <c r="X5" s="25"/>
      <c r="Y5" s="8"/>
      <c r="Z5" s="9"/>
      <c r="AA5" s="9"/>
    </row>
    <row r="6" customFormat="false" ht="22.35" hidden="false" customHeight="false" outlineLevel="0" collapsed="false">
      <c r="A6" s="27" t="s">
        <v>98</v>
      </c>
      <c r="B6" s="27" t="s"/>
      <c r="C6" s="45" t="s">
        <v>28</v>
      </c>
      <c r="D6" s="44" t="s">
        <v>28</v>
      </c>
      <c r="E6" s="30" t="s">
        <v>28</v>
      </c>
      <c r="F6" s="31" t="s">
        <v>28</v>
      </c>
      <c r="G6" s="44"/>
      <c r="H6" s="77"/>
      <c r="I6" s="33"/>
      <c r="J6" s="34"/>
      <c r="K6" s="34"/>
      <c r="L6" s="34"/>
      <c r="M6" s="34"/>
      <c r="N6" s="34"/>
      <c r="O6" s="34"/>
      <c r="P6" s="35"/>
      <c r="Q6" s="37" t="s">
        <v>99</v>
      </c>
      <c r="R6" s="37" t="s">
        <v>100</v>
      </c>
      <c r="S6" s="46" t="n">
        <v>2</v>
      </c>
      <c r="T6" s="38" t="n">
        <v>5148</v>
      </c>
      <c r="U6" s="46"/>
      <c r="V6" s="39"/>
      <c r="W6" s="40" t="n">
        <f aca="false">SUM(E6,S6)</f>
        <v>2</v>
      </c>
      <c r="X6" s="41" t="n">
        <f aca="false">SUM(F6,T6)</f>
        <v>5148</v>
      </c>
      <c r="Y6" s="42"/>
      <c r="Z6" s="43" t="n">
        <v>1841</v>
      </c>
      <c r="AA6" s="43" t="s">
        <v>101</v>
      </c>
    </row>
    <row r="7" customFormat="false" ht="58.2" hidden="false" customHeight="false" outlineLevel="0" collapsed="false">
      <c r="A7" s="27" t="s">
        <v>101</v>
      </c>
      <c r="B7" s="27" t="s"/>
      <c r="C7" s="28" t="s">
        <v>102</v>
      </c>
      <c r="D7" s="28" t="s">
        <v>103</v>
      </c>
      <c r="E7" s="30" t="n">
        <v>4</v>
      </c>
      <c r="F7" s="31" t="n">
        <v>1400</v>
      </c>
      <c r="G7" s="45" t="n">
        <v>4</v>
      </c>
      <c r="H7" s="78" t="s">
        <v>104</v>
      </c>
      <c r="I7" s="33"/>
      <c r="J7" s="34"/>
      <c r="K7" s="34"/>
      <c r="L7" s="34"/>
      <c r="M7" s="34"/>
      <c r="N7" s="34"/>
      <c r="O7" s="34"/>
      <c r="P7" s="35"/>
      <c r="Q7" s="49" t="s">
        <v>28</v>
      </c>
      <c r="R7" s="46" t="s">
        <v>28</v>
      </c>
      <c r="S7" s="46" t="s">
        <v>28</v>
      </c>
      <c r="T7" s="38" t="s">
        <v>28</v>
      </c>
      <c r="U7" s="46"/>
      <c r="V7" s="39"/>
      <c r="W7" s="40" t="n">
        <f aca="false">SUM(E7,S7)</f>
        <v>4</v>
      </c>
      <c r="X7" s="41" t="n">
        <f aca="false">SUM(F7,T7)</f>
        <v>1400</v>
      </c>
      <c r="Y7" s="42"/>
      <c r="Z7" s="43" t="n">
        <v>1847</v>
      </c>
      <c r="AA7" s="43" t="s">
        <v>105</v>
      </c>
    </row>
    <row r="8" customFormat="false" ht="22.35" hidden="false" customHeight="false" outlineLevel="0" collapsed="false">
      <c r="A8" s="27" t="s">
        <v>105</v>
      </c>
      <c r="B8" s="27" t="s"/>
      <c r="C8" s="45" t="s">
        <v>28</v>
      </c>
      <c r="D8" s="44" t="s">
        <v>28</v>
      </c>
      <c r="E8" s="30" t="s">
        <v>28</v>
      </c>
      <c r="F8" s="31" t="s">
        <v>28</v>
      </c>
      <c r="G8" s="44"/>
      <c r="H8" s="77"/>
      <c r="I8" s="33"/>
      <c r="J8" s="34"/>
      <c r="K8" s="34"/>
      <c r="L8" s="34"/>
      <c r="M8" s="34"/>
      <c r="N8" s="34"/>
      <c r="O8" s="34"/>
      <c r="P8" s="35"/>
      <c r="Q8" s="37" t="s">
        <v>106</v>
      </c>
      <c r="R8" s="37" t="s">
        <v>107</v>
      </c>
      <c r="S8" s="46" t="n">
        <v>2</v>
      </c>
      <c r="T8" s="38" t="n">
        <v>3704</v>
      </c>
      <c r="U8" s="46"/>
      <c r="V8" s="39"/>
      <c r="W8" s="40" t="n">
        <f aca="false">SUM(E8,S8)</f>
        <v>2</v>
      </c>
      <c r="X8" s="41" t="n">
        <f aca="false">SUM(F8,T8)</f>
        <v>3704</v>
      </c>
      <c r="Y8" s="42"/>
      <c r="Z8" s="43" t="n">
        <v>1855</v>
      </c>
      <c r="AA8" s="43" t="s">
        <v>108</v>
      </c>
    </row>
    <row r="9" customFormat="false" ht="22.35" hidden="false" customHeight="false" outlineLevel="0" collapsed="false">
      <c r="A9" s="27" t="s">
        <v>108</v>
      </c>
      <c r="B9" s="27" t="s"/>
      <c r="C9" s="45" t="s">
        <v>28</v>
      </c>
      <c r="D9" s="44" t="s">
        <v>28</v>
      </c>
      <c r="E9" s="30" t="s">
        <v>28</v>
      </c>
      <c r="F9" s="31" t="s">
        <v>28</v>
      </c>
      <c r="G9" s="44"/>
      <c r="H9" s="77"/>
      <c r="I9" s="33"/>
      <c r="J9" s="34"/>
      <c r="K9" s="34"/>
      <c r="L9" s="34"/>
      <c r="M9" s="34"/>
      <c r="N9" s="34"/>
      <c r="O9" s="34"/>
      <c r="P9" s="35"/>
      <c r="Q9" s="49" t="s">
        <v>28</v>
      </c>
      <c r="R9" s="46" t="s">
        <v>28</v>
      </c>
      <c r="S9" s="46" t="s">
        <v>28</v>
      </c>
      <c r="T9" s="38" t="s">
        <v>28</v>
      </c>
      <c r="U9" s="46"/>
      <c r="V9" s="39"/>
      <c r="W9" s="40" t="n">
        <f aca="false">SUM(E9,S9)</f>
        <v>0</v>
      </c>
      <c r="X9" s="41" t="n">
        <f aca="false">SUM(F9,T9)</f>
        <v>0</v>
      </c>
      <c r="Y9" s="42"/>
      <c r="Z9" s="43" t="n">
        <v>1862</v>
      </c>
      <c r="AA9" s="43" t="s">
        <v>109</v>
      </c>
    </row>
    <row r="10" customFormat="false" ht="22.35" hidden="false" customHeight="false" outlineLevel="0" collapsed="false">
      <c r="A10" s="27" t="s">
        <v>109</v>
      </c>
      <c r="B10" s="27" t="s"/>
      <c r="C10" s="28" t="s">
        <v>110</v>
      </c>
      <c r="D10" s="28" t="s">
        <v>111</v>
      </c>
      <c r="E10" s="30" t="n">
        <v>2</v>
      </c>
      <c r="F10" s="31" t="n">
        <v>1100</v>
      </c>
      <c r="G10" s="44"/>
      <c r="H10" s="77"/>
      <c r="I10" s="33"/>
      <c r="J10" s="34"/>
      <c r="K10" s="34"/>
      <c r="L10" s="34"/>
      <c r="M10" s="34"/>
      <c r="N10" s="34"/>
      <c r="O10" s="34"/>
      <c r="P10" s="35"/>
      <c r="Q10" s="37" t="s">
        <v>112</v>
      </c>
      <c r="R10" s="46" t="s">
        <v>28</v>
      </c>
      <c r="S10" s="46" t="n">
        <v>1</v>
      </c>
      <c r="T10" s="38" t="n">
        <v>1246</v>
      </c>
      <c r="U10" s="46"/>
      <c r="V10" s="39"/>
      <c r="W10" s="40" t="n">
        <f aca="false">SUM(E10,S10)</f>
        <v>3</v>
      </c>
      <c r="X10" s="41" t="n">
        <f aca="false">SUM(F10,T10)</f>
        <v>2346</v>
      </c>
      <c r="Y10" s="42"/>
      <c r="Z10" s="43" t="n">
        <v>1867</v>
      </c>
      <c r="AA10" s="43" t="s">
        <v>113</v>
      </c>
    </row>
    <row r="11" customFormat="false" ht="22.35" hidden="false" customHeight="false" outlineLevel="0" collapsed="false">
      <c r="A11" s="27" t="s">
        <v>114</v>
      </c>
      <c r="B11" s="27" t="s"/>
      <c r="C11" s="28" t="s">
        <v>115</v>
      </c>
      <c r="D11" s="45" t="s">
        <v>28</v>
      </c>
      <c r="E11" s="44" t="n">
        <v>1</v>
      </c>
      <c r="F11" s="31" t="n">
        <v>200</v>
      </c>
      <c r="G11" s="44"/>
      <c r="H11" s="77"/>
      <c r="I11" s="33"/>
      <c r="J11" s="34"/>
      <c r="K11" s="34"/>
      <c r="L11" s="34"/>
      <c r="M11" s="34"/>
      <c r="N11" s="34"/>
      <c r="O11" s="34"/>
      <c r="P11" s="35"/>
      <c r="Q11" s="37" t="s">
        <v>116</v>
      </c>
      <c r="R11" s="37" t="s">
        <v>117</v>
      </c>
      <c r="S11" s="46" t="n">
        <v>2</v>
      </c>
      <c r="T11" s="38" t="n">
        <v>2619.7</v>
      </c>
      <c r="U11" s="46"/>
      <c r="V11" s="39"/>
      <c r="W11" s="40" t="n">
        <f aca="false">SUM(E11,S11)</f>
        <v>3</v>
      </c>
      <c r="X11" s="41" t="n">
        <f aca="false">SUM(F11,T11)</f>
        <v>2819.7</v>
      </c>
      <c r="Y11" s="42"/>
      <c r="Z11" s="43" t="n">
        <v>1876</v>
      </c>
      <c r="AA11" s="43" t="s">
        <v>118</v>
      </c>
    </row>
    <row r="12" customFormat="false" ht="22.35" hidden="false" customHeight="false" outlineLevel="0" collapsed="false">
      <c r="A12" s="27" t="s">
        <v>118</v>
      </c>
      <c r="B12" s="27" t="s"/>
      <c r="C12" s="28" t="s">
        <v>119</v>
      </c>
      <c r="D12" s="28" t="s">
        <v>120</v>
      </c>
      <c r="E12" s="30" t="n">
        <v>2</v>
      </c>
      <c r="F12" s="31" t="n">
        <v>700</v>
      </c>
      <c r="G12" s="44"/>
      <c r="H12" s="77"/>
      <c r="I12" s="33"/>
      <c r="J12" s="34"/>
      <c r="K12" s="34"/>
      <c r="L12" s="34"/>
      <c r="M12" s="34"/>
      <c r="N12" s="34"/>
      <c r="O12" s="34"/>
      <c r="P12" s="35"/>
      <c r="Q12" s="37" t="s">
        <v>121</v>
      </c>
      <c r="R12" s="46" t="s">
        <v>28</v>
      </c>
      <c r="S12" s="46" t="n">
        <v>1</v>
      </c>
      <c r="T12" s="38" t="n">
        <v>800</v>
      </c>
      <c r="U12" s="46"/>
      <c r="V12" s="39"/>
      <c r="W12" s="40" t="n">
        <f aca="false">SUM(E12,S12)</f>
        <v>3</v>
      </c>
      <c r="X12" s="41" t="n">
        <f aca="false">SUM(F12,T12)</f>
        <v>1500</v>
      </c>
      <c r="Y12" s="42"/>
      <c r="Z12" s="43" t="n">
        <v>1883</v>
      </c>
      <c r="AA12" s="43" t="s">
        <v>122</v>
      </c>
    </row>
    <row r="13" customFormat="false" ht="22.35" hidden="false" customHeight="false" outlineLevel="0" collapsed="false">
      <c r="A13" s="27" t="s">
        <v>122</v>
      </c>
      <c r="B13" s="27" t="s"/>
      <c r="C13" s="28" t="s">
        <v>123</v>
      </c>
      <c r="D13" s="45" t="s">
        <v>28</v>
      </c>
      <c r="E13" s="44" t="n">
        <v>1</v>
      </c>
      <c r="F13" s="31" t="n">
        <v>200</v>
      </c>
      <c r="G13" s="44"/>
      <c r="H13" s="77"/>
      <c r="I13" s="33"/>
      <c r="J13" s="34"/>
      <c r="K13" s="34"/>
      <c r="L13" s="34"/>
      <c r="M13" s="34"/>
      <c r="N13" s="34"/>
      <c r="O13" s="34"/>
      <c r="P13" s="35"/>
      <c r="Q13" s="37" t="s">
        <v>124</v>
      </c>
      <c r="R13" s="37" t="s">
        <v>125</v>
      </c>
      <c r="S13" s="46" t="n">
        <v>2</v>
      </c>
      <c r="T13" s="38" t="n">
        <v>2502</v>
      </c>
      <c r="U13" s="46"/>
      <c r="V13" s="39"/>
      <c r="W13" s="40" t="n">
        <f aca="false">SUM(E13,S13)</f>
        <v>3</v>
      </c>
      <c r="X13" s="41" t="n">
        <f aca="false">SUM(F13,T13)</f>
        <v>2702</v>
      </c>
      <c r="Y13" s="42"/>
      <c r="Z13" s="43" t="n">
        <v>1891</v>
      </c>
      <c r="AA13" s="43" t="s">
        <v>126</v>
      </c>
    </row>
    <row r="14" customFormat="false" ht="22.35" hidden="false" customHeight="false" outlineLevel="0" collapsed="false">
      <c r="A14" s="27" t="s">
        <v>126</v>
      </c>
      <c r="B14" s="27" t="s"/>
      <c r="C14" s="28" t="s">
        <v>127</v>
      </c>
      <c r="D14" s="28" t="s">
        <v>128</v>
      </c>
      <c r="E14" s="30" t="n">
        <v>5</v>
      </c>
      <c r="F14" s="31" t="n">
        <v>2250</v>
      </c>
      <c r="G14" s="44"/>
      <c r="H14" s="77"/>
      <c r="I14" s="33"/>
      <c r="J14" s="34"/>
      <c r="K14" s="34"/>
      <c r="L14" s="48"/>
      <c r="M14" s="34"/>
      <c r="N14" s="34"/>
      <c r="O14" s="34"/>
      <c r="P14" s="35"/>
      <c r="Q14" s="37" t="s">
        <v>129</v>
      </c>
      <c r="R14" s="46" t="s">
        <v>28</v>
      </c>
      <c r="S14" s="46" t="n">
        <v>1</v>
      </c>
      <c r="T14" s="38" t="n">
        <v>1252</v>
      </c>
      <c r="U14" s="46"/>
      <c r="V14" s="39"/>
      <c r="W14" s="40" t="n">
        <f aca="false">SUM(E14,S14)</f>
        <v>6</v>
      </c>
      <c r="X14" s="41" t="n">
        <f aca="false">SUM(F14,T14)</f>
        <v>3502</v>
      </c>
      <c r="Y14" s="42"/>
      <c r="Z14" s="43" t="n">
        <v>1899</v>
      </c>
      <c r="AA14" s="43" t="s">
        <v>130</v>
      </c>
    </row>
    <row r="15" customFormat="false" ht="22.35" hidden="false" customHeight="false" outlineLevel="0" collapsed="false">
      <c r="A15" s="27" t="s">
        <v>130</v>
      </c>
      <c r="B15" s="27" t="s"/>
      <c r="C15" s="45" t="s">
        <v>28</v>
      </c>
      <c r="D15" s="45" t="s">
        <v>28</v>
      </c>
      <c r="E15" s="30" t="s">
        <v>28</v>
      </c>
      <c r="F15" s="31" t="s">
        <v>28</v>
      </c>
      <c r="G15" s="44"/>
      <c r="H15" s="77"/>
      <c r="I15" s="33"/>
      <c r="J15" s="34"/>
      <c r="K15" s="34"/>
      <c r="L15" s="48"/>
      <c r="M15" s="34"/>
      <c r="N15" s="34"/>
      <c r="O15" s="34"/>
      <c r="P15" s="35"/>
      <c r="Q15" s="37" t="s">
        <v>131</v>
      </c>
      <c r="R15" s="37" t="s">
        <v>132</v>
      </c>
      <c r="S15" s="46" t="n">
        <v>2</v>
      </c>
      <c r="T15" s="38" t="n">
        <v>2506</v>
      </c>
      <c r="U15" s="46"/>
      <c r="V15" s="39"/>
      <c r="W15" s="40" t="n">
        <f aca="false">SUM(E15,S15)</f>
        <v>2</v>
      </c>
      <c r="X15" s="41" t="n">
        <f aca="false">SUM(F15,T15)</f>
        <v>2506</v>
      </c>
      <c r="Y15" s="42"/>
      <c r="Z15" s="43" t="n">
        <v>1905</v>
      </c>
      <c r="AA15" s="43" t="s">
        <v>133</v>
      </c>
    </row>
    <row r="16" customFormat="false" ht="22.35" hidden="false" customHeight="false" outlineLevel="0" collapsed="false">
      <c r="A16" s="27" t="s">
        <v>134</v>
      </c>
      <c r="B16" s="27" t="s"/>
      <c r="C16" s="28" t="s">
        <v>135</v>
      </c>
      <c r="D16" s="28" t="s">
        <v>136</v>
      </c>
      <c r="E16" s="30" t="n">
        <v>2</v>
      </c>
      <c r="F16" s="31" t="n">
        <v>1720</v>
      </c>
      <c r="G16" s="44"/>
      <c r="H16" s="77"/>
      <c r="I16" s="33"/>
      <c r="J16" s="34"/>
      <c r="K16" s="34"/>
      <c r="L16" s="34"/>
      <c r="M16" s="34"/>
      <c r="N16" s="34"/>
      <c r="O16" s="34"/>
      <c r="P16" s="35"/>
      <c r="Q16" s="37" t="s">
        <v>137</v>
      </c>
      <c r="R16" s="37" t="s">
        <v>138</v>
      </c>
      <c r="S16" s="46" t="n">
        <v>5</v>
      </c>
      <c r="T16" s="38" t="n">
        <v>6630</v>
      </c>
      <c r="U16" s="46"/>
      <c r="V16" s="39"/>
      <c r="W16" s="40" t="n">
        <f aca="false">SUM(E16,S16)</f>
        <v>7</v>
      </c>
      <c r="X16" s="41" t="n">
        <f aca="false">SUM(F16,T16)</f>
        <v>8350</v>
      </c>
      <c r="Y16" s="42"/>
      <c r="Z16" s="43" t="n">
        <v>1909</v>
      </c>
      <c r="AA16" s="43" t="s">
        <v>139</v>
      </c>
    </row>
    <row r="17" customFormat="false" ht="22.35" hidden="false" customHeight="false" outlineLevel="0" collapsed="false">
      <c r="A17" s="27" t="s">
        <v>139</v>
      </c>
      <c r="B17" s="27" t="s"/>
      <c r="C17" s="28" t="s">
        <v>140</v>
      </c>
      <c r="D17" s="28" t="s">
        <v>141</v>
      </c>
      <c r="E17" s="44" t="n">
        <v>2</v>
      </c>
      <c r="F17" s="31" t="n">
        <v>400</v>
      </c>
      <c r="G17" s="44"/>
      <c r="H17" s="77"/>
      <c r="I17" s="33"/>
      <c r="J17" s="34"/>
      <c r="K17" s="34"/>
      <c r="L17" s="34"/>
      <c r="M17" s="34"/>
      <c r="N17" s="34"/>
      <c r="O17" s="34"/>
      <c r="P17" s="35"/>
      <c r="Q17" s="37" t="s">
        <v>142</v>
      </c>
      <c r="R17" s="37" t="s">
        <v>143</v>
      </c>
      <c r="S17" s="46" t="n">
        <v>4</v>
      </c>
      <c r="T17" s="38" t="n">
        <v>5748</v>
      </c>
      <c r="U17" s="46"/>
      <c r="V17" s="39"/>
      <c r="W17" s="40" t="n">
        <f aca="false">SUM(E17,S17)</f>
        <v>6</v>
      </c>
      <c r="X17" s="41" t="n">
        <f aca="false">SUM(F17,T17)</f>
        <v>6148</v>
      </c>
      <c r="Y17" s="42"/>
      <c r="Z17" s="43" t="n">
        <v>1917</v>
      </c>
      <c r="AA17" s="43" t="s">
        <v>144</v>
      </c>
    </row>
    <row r="18" customFormat="false" ht="22.35" hidden="false" customHeight="false" outlineLevel="0" collapsed="false">
      <c r="A18" s="27" t="s">
        <v>144</v>
      </c>
      <c r="B18" s="27" t="s"/>
      <c r="C18" s="28" t="s">
        <v>145</v>
      </c>
      <c r="D18" s="28" t="s">
        <v>146</v>
      </c>
      <c r="E18" s="30" t="n">
        <v>4</v>
      </c>
      <c r="F18" s="31" t="n">
        <v>1220</v>
      </c>
      <c r="G18" s="44"/>
      <c r="H18" s="77"/>
      <c r="I18" s="33"/>
      <c r="J18" s="34"/>
      <c r="K18" s="34"/>
      <c r="L18" s="34"/>
      <c r="M18" s="34"/>
      <c r="N18" s="34"/>
      <c r="O18" s="34"/>
      <c r="P18" s="35"/>
      <c r="Q18" s="49" t="s">
        <v>28</v>
      </c>
      <c r="R18" s="46" t="s">
        <v>28</v>
      </c>
      <c r="S18" s="46" t="s">
        <v>28</v>
      </c>
      <c r="T18" s="38" t="s">
        <v>28</v>
      </c>
      <c r="U18" s="46"/>
      <c r="V18" s="39"/>
      <c r="W18" s="40" t="n">
        <f aca="false">SUM(E18,S18)</f>
        <v>4</v>
      </c>
      <c r="X18" s="41" t="n">
        <f aca="false">SUM(F18,T18)</f>
        <v>1220</v>
      </c>
      <c r="Y18" s="42"/>
      <c r="Z18" s="43" t="n">
        <v>1925</v>
      </c>
      <c r="AA18" s="43" t="s">
        <v>147</v>
      </c>
    </row>
    <row r="19" customFormat="false" ht="22.35" hidden="false" customHeight="false" outlineLevel="0" collapsed="false">
      <c r="A19" s="27" t="s">
        <v>147</v>
      </c>
      <c r="B19" s="27" t="s"/>
      <c r="C19" s="28" t="s">
        <v>148</v>
      </c>
      <c r="D19" s="28" t="s">
        <v>149</v>
      </c>
      <c r="E19" s="44" t="n">
        <v>3</v>
      </c>
      <c r="F19" s="31" t="n">
        <v>600</v>
      </c>
      <c r="G19" s="44"/>
      <c r="H19" s="77"/>
      <c r="I19" s="33"/>
      <c r="J19" s="34"/>
      <c r="K19" s="34"/>
      <c r="L19" s="34"/>
      <c r="M19" s="34"/>
      <c r="N19" s="34"/>
      <c r="O19" s="34"/>
      <c r="P19" s="35"/>
      <c r="Q19" s="49" t="s">
        <v>28</v>
      </c>
      <c r="R19" s="46" t="s">
        <v>28</v>
      </c>
      <c r="S19" s="46" t="s">
        <v>28</v>
      </c>
      <c r="T19" s="38" t="s">
        <v>28</v>
      </c>
      <c r="U19" s="46"/>
      <c r="V19" s="39"/>
      <c r="W19" s="40" t="n">
        <f aca="false">SUM(E19,S19)</f>
        <v>3</v>
      </c>
      <c r="X19" s="41" t="n">
        <f aca="false">SUM(F19,T19)</f>
        <v>600</v>
      </c>
      <c r="Y19" s="42"/>
      <c r="Z19" s="43" t="n">
        <v>1933</v>
      </c>
      <c r="AA19" s="43" t="s">
        <v>150</v>
      </c>
    </row>
    <row r="20" customFormat="false" ht="22.35" hidden="false" customHeight="false" outlineLevel="0" collapsed="false">
      <c r="A20" s="27" t="s">
        <v>150</v>
      </c>
      <c r="B20" s="27" t="s"/>
      <c r="C20" s="28" t="s">
        <v>151</v>
      </c>
      <c r="D20" s="28" t="s">
        <v>152</v>
      </c>
      <c r="E20" s="30" t="n">
        <v>3</v>
      </c>
      <c r="F20" s="31" t="n">
        <v>900</v>
      </c>
      <c r="G20" s="44"/>
      <c r="H20" s="77"/>
      <c r="I20" s="33"/>
      <c r="J20" s="34"/>
      <c r="K20" s="34"/>
      <c r="L20" s="34"/>
      <c r="M20" s="34"/>
      <c r="N20" s="34"/>
      <c r="O20" s="34"/>
      <c r="P20" s="35"/>
      <c r="Q20" s="37" t="s">
        <v>153</v>
      </c>
      <c r="R20" s="37" t="s">
        <v>154</v>
      </c>
      <c r="S20" s="46" t="n">
        <v>2</v>
      </c>
      <c r="T20" s="38" t="n">
        <v>3402</v>
      </c>
      <c r="U20" s="46"/>
      <c r="V20" s="39"/>
      <c r="W20" s="40" t="n">
        <f aca="false">SUM(E20,S20)</f>
        <v>5</v>
      </c>
      <c r="X20" s="41" t="n">
        <f aca="false">SUM(F20,T20)</f>
        <v>4302</v>
      </c>
      <c r="Y20" s="42"/>
      <c r="Z20" s="43" t="n">
        <v>1940</v>
      </c>
      <c r="AA20" s="43" t="s">
        <v>155</v>
      </c>
    </row>
    <row r="21" customFormat="false" ht="22.35" hidden="false" customHeight="false" outlineLevel="0" collapsed="false">
      <c r="A21" s="27" t="s">
        <v>156</v>
      </c>
      <c r="B21" s="27" t="s"/>
      <c r="C21" s="28" t="s">
        <v>157</v>
      </c>
      <c r="D21" s="44" t="s">
        <v>28</v>
      </c>
      <c r="E21" s="30" t="n">
        <v>1</v>
      </c>
      <c r="F21" s="31" t="n">
        <v>2400</v>
      </c>
      <c r="G21" s="44"/>
      <c r="H21" s="77"/>
      <c r="I21" s="33"/>
      <c r="J21" s="34"/>
      <c r="K21" s="34"/>
      <c r="L21" s="34"/>
      <c r="M21" s="34"/>
      <c r="N21" s="34"/>
      <c r="O21" s="34"/>
      <c r="P21" s="35"/>
      <c r="Q21" s="37" t="s">
        <v>158</v>
      </c>
      <c r="R21" s="46" t="s">
        <v>28</v>
      </c>
      <c r="S21" s="46" t="n">
        <v>1</v>
      </c>
      <c r="T21" s="38" t="n">
        <v>1262</v>
      </c>
      <c r="U21" s="46"/>
      <c r="V21" s="39"/>
      <c r="W21" s="40" t="n">
        <f aca="false">SUM(E21,S21)</f>
        <v>2</v>
      </c>
      <c r="X21" s="41" t="n">
        <f aca="false">SUM(F21,T21)</f>
        <v>3662</v>
      </c>
      <c r="Y21" s="42"/>
      <c r="Z21" s="43" t="n">
        <v>1948</v>
      </c>
      <c r="AA21" s="43" t="s">
        <v>159</v>
      </c>
    </row>
    <row r="22" customFormat="false" ht="22.35" hidden="false" customHeight="false" outlineLevel="0" collapsed="false">
      <c r="A22" s="27" t="s">
        <v>159</v>
      </c>
      <c r="B22" s="27" t="s"/>
      <c r="C22" s="44" t="s">
        <v>28</v>
      </c>
      <c r="D22" s="44" t="s">
        <v>28</v>
      </c>
      <c r="E22" s="30" t="s">
        <v>28</v>
      </c>
      <c r="F22" s="31" t="s">
        <v>28</v>
      </c>
      <c r="G22" s="44"/>
      <c r="H22" s="77"/>
      <c r="I22" s="33"/>
      <c r="J22" s="34"/>
      <c r="K22" s="34"/>
      <c r="L22" s="34"/>
      <c r="M22" s="34"/>
      <c r="N22" s="34"/>
      <c r="O22" s="34"/>
      <c r="P22" s="35"/>
      <c r="Q22" s="37" t="s">
        <v>160</v>
      </c>
      <c r="R22" s="46"/>
      <c r="S22" s="46" t="n">
        <v>1</v>
      </c>
      <c r="T22" s="38" t="n">
        <v>1264</v>
      </c>
      <c r="U22" s="46"/>
      <c r="V22" s="39"/>
      <c r="W22" s="40" t="n">
        <f aca="false">SUM(E22,S22)</f>
        <v>1</v>
      </c>
      <c r="X22" s="41" t="n">
        <f aca="false">SUM(F22,T22)</f>
        <v>1264</v>
      </c>
      <c r="Y22" s="42"/>
      <c r="Z22" s="43" t="n">
        <v>1954</v>
      </c>
      <c r="AA22" s="43" t="s">
        <v>161</v>
      </c>
    </row>
    <row r="23" customFormat="false" ht="22.35" hidden="false" customHeight="false" outlineLevel="0" collapsed="false">
      <c r="A23" s="27" t="s">
        <v>161</v>
      </c>
      <c r="B23" s="27" t="s"/>
      <c r="C23" s="45" t="s">
        <v>28</v>
      </c>
      <c r="D23" s="44" t="s">
        <v>28</v>
      </c>
      <c r="E23" s="30" t="s">
        <v>28</v>
      </c>
      <c r="F23" s="31" t="s">
        <v>28</v>
      </c>
      <c r="G23" s="44"/>
      <c r="H23" s="77"/>
      <c r="I23" s="33"/>
      <c r="J23" s="34"/>
      <c r="K23" s="34"/>
      <c r="L23" s="34"/>
      <c r="M23" s="34"/>
      <c r="N23" s="34"/>
      <c r="O23" s="34"/>
      <c r="P23" s="35"/>
      <c r="Q23" s="37" t="s">
        <v>162</v>
      </c>
      <c r="R23" s="37" t="s">
        <v>163</v>
      </c>
      <c r="S23" s="46" t="n">
        <v>3</v>
      </c>
      <c r="T23" s="38" t="n">
        <v>4000</v>
      </c>
      <c r="U23" s="46"/>
      <c r="V23" s="39"/>
      <c r="W23" s="40" t="n">
        <f aca="false">SUM(E23,S23)</f>
        <v>3</v>
      </c>
      <c r="X23" s="41" t="n">
        <f aca="false">SUM(F23,T23)</f>
        <v>4000</v>
      </c>
      <c r="Y23" s="42"/>
      <c r="Z23" s="43" t="n">
        <v>1963</v>
      </c>
      <c r="AA23" s="43" t="s">
        <v>164</v>
      </c>
    </row>
    <row r="24" customFormat="false" ht="22.35" hidden="false" customHeight="false" outlineLevel="0" collapsed="false">
      <c r="A24" s="27" t="s">
        <v>164</v>
      </c>
      <c r="B24" s="27" t="s"/>
      <c r="C24" s="28" t="s">
        <v>165</v>
      </c>
      <c r="D24" s="44" t="s">
        <v>28</v>
      </c>
      <c r="E24" s="30" t="n">
        <v>1</v>
      </c>
      <c r="F24" s="31" t="n">
        <v>1420</v>
      </c>
      <c r="G24" s="44"/>
      <c r="H24" s="77"/>
      <c r="I24" s="33"/>
      <c r="J24" s="34"/>
      <c r="K24" s="34"/>
      <c r="L24" s="34"/>
      <c r="M24" s="34"/>
      <c r="N24" s="34"/>
      <c r="O24" s="34"/>
      <c r="P24" s="35"/>
      <c r="Q24" s="46" t="s">
        <v>28</v>
      </c>
      <c r="R24" s="46" t="s">
        <v>28</v>
      </c>
      <c r="S24" s="46" t="s">
        <v>28</v>
      </c>
      <c r="T24" s="38" t="s">
        <v>28</v>
      </c>
      <c r="U24" s="46"/>
      <c r="V24" s="39"/>
      <c r="W24" s="40" t="n">
        <f aca="false">SUM(E24,S24)</f>
        <v>1</v>
      </c>
      <c r="X24" s="41" t="n">
        <f aca="false">SUM(F24,T24)</f>
        <v>1420</v>
      </c>
      <c r="Y24" s="42"/>
      <c r="Z24" s="43" t="n">
        <v>1969</v>
      </c>
      <c r="AA24" s="43" t="s">
        <v>166</v>
      </c>
    </row>
    <row r="25" customFormat="false" ht="22.35" hidden="false" customHeight="false" outlineLevel="0" collapsed="false">
      <c r="A25" s="79" t="s">
        <v>166</v>
      </c>
      <c r="B25" s="79" t="s"/>
      <c r="C25" s="80" t="s">
        <v>167</v>
      </c>
      <c r="D25" s="44"/>
      <c r="E25" s="30" t="n">
        <v>1</v>
      </c>
      <c r="F25" s="31" t="n">
        <v>1200</v>
      </c>
      <c r="G25" s="44"/>
      <c r="H25" s="81"/>
      <c r="I25" s="34"/>
      <c r="J25" s="34"/>
      <c r="K25" s="34"/>
      <c r="L25" s="34"/>
      <c r="M25" s="34"/>
      <c r="N25" s="34"/>
      <c r="O25" s="34"/>
      <c r="P25" s="82"/>
      <c r="Q25" s="49" t="s">
        <v>28</v>
      </c>
      <c r="R25" s="46" t="s">
        <v>28</v>
      </c>
      <c r="S25" s="46" t="s">
        <v>28</v>
      </c>
      <c r="T25" s="38" t="s">
        <v>28</v>
      </c>
      <c r="U25" s="46"/>
      <c r="V25" s="83"/>
      <c r="W25" s="40" t="n">
        <f aca="false">SUM(E25,S25)</f>
        <v>1</v>
      </c>
      <c r="X25" s="41" t="n">
        <f aca="false">SUM(F25,T25)</f>
        <v>1200</v>
      </c>
      <c r="Y25" s="42"/>
      <c r="Z25" s="43" t="n">
        <v>1976</v>
      </c>
      <c r="AA25" s="43" t="s">
        <v>168</v>
      </c>
    </row>
    <row r="26" customFormat="false" ht="22.35" hidden="false" customHeight="false" outlineLevel="0" collapsed="false">
      <c r="A26" s="84" t="s">
        <v>169</v>
      </c>
      <c r="B26" s="84" t="s"/>
      <c r="C26" s="80" t="s">
        <v>170</v>
      </c>
      <c r="D26" s="29" t="s">
        <v>171</v>
      </c>
      <c r="E26" s="30" t="n">
        <v>2</v>
      </c>
      <c r="F26" s="31" t="n">
        <v>3920</v>
      </c>
      <c r="G26" s="44"/>
      <c r="H26" s="81"/>
      <c r="I26" s="34"/>
      <c r="J26" s="34"/>
      <c r="K26" s="34"/>
      <c r="L26" s="34"/>
      <c r="M26" s="34"/>
      <c r="N26" s="34"/>
      <c r="O26" s="34"/>
      <c r="P26" s="82"/>
      <c r="Q26" s="36" t="s">
        <v>172</v>
      </c>
      <c r="R26" s="37" t="s">
        <v>173</v>
      </c>
      <c r="S26" s="46" t="n">
        <v>2</v>
      </c>
      <c r="T26" s="38" t="n">
        <v>2896</v>
      </c>
      <c r="U26" s="46"/>
      <c r="V26" s="83"/>
      <c r="W26" s="40" t="n">
        <f aca="false">SUM(E26,S26)</f>
        <v>4</v>
      </c>
      <c r="X26" s="41" t="n">
        <f aca="false">SUM(F26,T26)</f>
        <v>6816</v>
      </c>
      <c r="Y26" s="42"/>
      <c r="Z26" s="43" t="n">
        <v>1988</v>
      </c>
      <c r="AA26" s="43" t="s">
        <v>174</v>
      </c>
    </row>
    <row r="27" customFormat="false" ht="19.7" hidden="false" customHeight="false" outlineLevel="0" collapsed="false">
      <c r="A27" s="85" t="s">
        <v>96</v>
      </c>
      <c r="B27" s="85" t="s"/>
      <c r="C27" s="85"/>
      <c r="D27" s="85"/>
      <c r="E27" s="86" t="n">
        <f aca="false">SUM(E6:E26)</f>
        <v>34</v>
      </c>
      <c r="F27" s="87" t="n">
        <f aca="false">SUM(F6:F26)</f>
        <v>19630</v>
      </c>
      <c r="G27" s="88"/>
      <c r="H27" s="89"/>
      <c r="I27" s="90" t="s">
        <v>96</v>
      </c>
      <c r="J27" s="90"/>
      <c r="K27" s="90"/>
      <c r="L27" s="90"/>
      <c r="M27" s="88"/>
      <c r="N27" s="88"/>
      <c r="O27" s="88"/>
      <c r="P27" s="89"/>
      <c r="Q27" s="90" t="s">
        <v>96</v>
      </c>
      <c r="R27" s="90"/>
      <c r="S27" s="91" t="n">
        <f aca="false">SUM(S6:S26)</f>
        <v>31</v>
      </c>
      <c r="T27" s="87" t="n">
        <f aca="false">SUM(T6:T26)</f>
        <v>44979.7</v>
      </c>
      <c r="U27" s="88" t="n">
        <f aca="false">SUM(U6:U25)</f>
        <v>0</v>
      </c>
      <c r="V27" s="89" t="n">
        <f aca="false">SUM(V6:V25)</f>
        <v>0</v>
      </c>
      <c r="W27" s="74" t="n">
        <f aca="false">SUM(W6:W26)</f>
        <v>65</v>
      </c>
      <c r="X27" s="92" t="n">
        <f aca="false">SUM(X6:X26)</f>
        <v>64609.7</v>
      </c>
      <c r="Y27" s="93"/>
      <c r="Z27" s="88"/>
      <c r="AA27" s="89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30">
    <mergeCell ref="A1:AA1"/>
    <mergeCell ref="A3:A5"/>
    <mergeCell ref="C3:H3"/>
    <mergeCell ref="I3:P3"/>
    <mergeCell ref="Q3:V3"/>
    <mergeCell ref="W3:X3"/>
    <mergeCell ref="Y3:Y5"/>
    <mergeCell ref="Z3:Z5"/>
    <mergeCell ref="AA3:AA5"/>
    <mergeCell ref="C4:C5"/>
    <mergeCell ref="D4:D5"/>
    <mergeCell ref="E4:E5"/>
    <mergeCell ref="F4:F5"/>
    <mergeCell ref="G4:H4"/>
    <mergeCell ref="I4:J5"/>
    <mergeCell ref="K4:K5"/>
    <mergeCell ref="L4:L5"/>
    <mergeCell ref="M4:M5"/>
    <mergeCell ref="N4:N5"/>
    <mergeCell ref="O4:P4"/>
    <mergeCell ref="Q4:Q5"/>
    <mergeCell ref="R4:R5"/>
    <mergeCell ref="S4:S5"/>
    <mergeCell ref="T4:T5"/>
    <mergeCell ref="U4:V4"/>
    <mergeCell ref="W4:W5"/>
    <mergeCell ref="X4:X5"/>
    <mergeCell ref="A27:D27"/>
    <mergeCell ref="I27:L27"/>
    <mergeCell ref="Q27:R27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>
  <sheetPr filterMode="false">
    <outlinePr summaryBelow="0"/>
    <pageSetUpPr fitToPage="true"/>
  </sheetPr>
  <dimension ref="A1:AA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7.25"/>
    <col collapsed="false" customWidth="true" hidden="false" outlineLevel="0" style="0" width="17.25" min="2" max="2"/>
    <col collapsed="false" customWidth="true" hidden="false" outlineLevel="0" max="7" min="7" style="0" width="14.63"/>
    <col collapsed="false" customWidth="true" hidden="false" outlineLevel="0" max="8" min="8" style="0" width="17.5"/>
    <col collapsed="false" customWidth="false" hidden="true" outlineLevel="0" max="16" min="9" style="0" width="12.63"/>
    <col collapsed="false" customWidth="true" hidden="false" outlineLevel="0" max="23" min="23" style="0" width="14.88"/>
    <col collapsed="false" customWidth="true" hidden="false" outlineLevel="0" max="24" min="24" style="0" width="12.5"/>
  </cols>
  <sheetData>
    <row r="1" customFormat="false" ht="26.1" hidden="false" customHeight="false" outlineLevel="0" collapsed="false">
      <c r="A1" s="1" t="s">
        <v>175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2.35" hidden="false" customHeight="true" outlineLevel="0" collapsed="false">
      <c r="A3" s="3" t="s">
        <v>1</v>
      </c>
      <c r="B3" s="3" t="inlineStr">
        <is>
          <t>ข้อมูลกฎหมาย</t>
        </is>
      </c>
      <c r="C3" s="4" t="s">
        <v>2</v>
      </c>
      <c r="D3" s="4"/>
      <c r="E3" s="4"/>
      <c r="F3" s="4"/>
      <c r="G3" s="4"/>
      <c r="H3" s="4"/>
      <c r="I3" s="5" t="s">
        <v>3</v>
      </c>
      <c r="J3" s="5"/>
      <c r="K3" s="5"/>
      <c r="L3" s="5"/>
      <c r="M3" s="5"/>
      <c r="N3" s="5"/>
      <c r="O3" s="5"/>
      <c r="P3" s="5"/>
      <c r="Q3" s="6" t="s">
        <v>4</v>
      </c>
      <c r="R3" s="6"/>
      <c r="S3" s="6"/>
      <c r="T3" s="6"/>
      <c r="U3" s="6"/>
      <c r="V3" s="6"/>
      <c r="W3" s="7" t="s">
        <v>5</v>
      </c>
      <c r="X3" s="7"/>
      <c r="Y3" s="8" t="s">
        <v>6</v>
      </c>
      <c r="Z3" s="9" t="s">
        <v>7</v>
      </c>
      <c r="AA3" s="10" t="s">
        <v>8</v>
      </c>
    </row>
    <row r="4" customFormat="false" ht="22.35" hidden="false" customHeight="false" outlineLevel="0" collapsed="false">
      <c r="A4" s="3"/>
      <c r="B4" s="3" t="inlineStr">
        <is>
          <t>กฎหมาย</t>
        </is>
      </c>
      <c r="C4" s="11" t="s">
        <v>9</v>
      </c>
      <c r="D4" s="12" t="s">
        <v>10</v>
      </c>
      <c r="E4" s="12" t="s">
        <v>11</v>
      </c>
      <c r="F4" s="13" t="s">
        <v>12</v>
      </c>
      <c r="G4" s="14" t="s">
        <v>13</v>
      </c>
      <c r="H4" s="14"/>
      <c r="I4" s="15" t="s">
        <v>14</v>
      </c>
      <c r="J4" s="15"/>
      <c r="K4" s="16" t="s">
        <v>9</v>
      </c>
      <c r="L4" s="16" t="s">
        <v>10</v>
      </c>
      <c r="M4" s="17" t="s">
        <v>11</v>
      </c>
      <c r="N4" s="18" t="s">
        <v>12</v>
      </c>
      <c r="O4" s="19" t="s">
        <v>13</v>
      </c>
      <c r="P4" s="19"/>
      <c r="Q4" s="20" t="s">
        <v>9</v>
      </c>
      <c r="R4" s="21" t="s">
        <v>10</v>
      </c>
      <c r="S4" s="22" t="s">
        <v>11</v>
      </c>
      <c r="T4" s="21" t="s">
        <v>12</v>
      </c>
      <c r="U4" s="23" t="s">
        <v>15</v>
      </c>
      <c r="V4" s="23"/>
      <c r="W4" s="24" t="s">
        <v>16</v>
      </c>
      <c r="X4" s="25" t="s">
        <v>17</v>
      </c>
      <c r="Y4" s="8"/>
      <c r="Z4" s="9"/>
      <c r="AA4" s="9"/>
    </row>
    <row r="5" customFormat="false" ht="19.7" hidden="false" customHeight="false" outlineLevel="0" collapsed="false">
      <c r="A5" s="3"/>
      <c r="B5" s="3"/>
      <c r="C5" s="11"/>
      <c r="D5" s="12"/>
      <c r="E5" s="12"/>
      <c r="F5" s="12"/>
      <c r="G5" s="26" t="s">
        <v>11</v>
      </c>
      <c r="H5" s="14" t="s">
        <v>18</v>
      </c>
      <c r="I5" s="15"/>
      <c r="J5" s="15"/>
      <c r="K5" s="16"/>
      <c r="L5" s="16"/>
      <c r="M5" s="16"/>
      <c r="N5" s="16"/>
      <c r="O5" s="17" t="s">
        <v>11</v>
      </c>
      <c r="P5" s="19" t="s">
        <v>18</v>
      </c>
      <c r="Q5" s="20"/>
      <c r="R5" s="21"/>
      <c r="S5" s="21"/>
      <c r="T5" s="21"/>
      <c r="U5" s="22" t="s">
        <v>11</v>
      </c>
      <c r="V5" s="23" t="s">
        <v>18</v>
      </c>
      <c r="W5" s="24"/>
      <c r="X5" s="25"/>
      <c r="Y5" s="8"/>
      <c r="Z5" s="9"/>
      <c r="AA5" s="9"/>
    </row>
    <row r="6" customFormat="false" ht="22.35" hidden="false" customHeight="false" outlineLevel="0" collapsed="false">
      <c r="A6" s="27" t="s">
        <v>176</v>
      </c>
      <c r="B6" s="27" t="s"/>
      <c r="C6" s="28" t="s">
        <v>177</v>
      </c>
      <c r="D6" s="44" t="s">
        <v>28</v>
      </c>
      <c r="E6" s="30" t="n">
        <v>1</v>
      </c>
      <c r="F6" s="31" t="n">
        <v>200</v>
      </c>
      <c r="G6" s="44"/>
      <c r="H6" s="77"/>
      <c r="I6" s="33"/>
      <c r="J6" s="34"/>
      <c r="K6" s="34"/>
      <c r="L6" s="34"/>
      <c r="M6" s="34"/>
      <c r="N6" s="34"/>
      <c r="O6" s="34"/>
      <c r="P6" s="35"/>
      <c r="Q6" s="37" t="s">
        <v>178</v>
      </c>
      <c r="R6" s="46" t="s">
        <v>28</v>
      </c>
      <c r="S6" s="46" t="n">
        <v>1</v>
      </c>
      <c r="T6" s="38" t="n">
        <v>1700</v>
      </c>
      <c r="U6" s="46"/>
      <c r="V6" s="39"/>
      <c r="W6" s="40" t="n">
        <f aca="false">SUM(E6,S6)</f>
        <v>2</v>
      </c>
      <c r="X6" s="41" t="n">
        <f aca="false">SUM(F6,T6)</f>
        <v>1900</v>
      </c>
      <c r="Y6" s="42"/>
      <c r="Z6" s="43" t="n">
        <v>1989</v>
      </c>
      <c r="AA6" s="43" t="s">
        <v>174</v>
      </c>
    </row>
    <row r="7" customFormat="false" ht="22.35" hidden="false" customHeight="false" outlineLevel="0" collapsed="false">
      <c r="A7" s="27" t="s">
        <v>174</v>
      </c>
      <c r="B7" s="27" t="s"/>
      <c r="C7" s="28" t="s">
        <v>179</v>
      </c>
      <c r="D7" s="28" t="s">
        <v>180</v>
      </c>
      <c r="E7" s="30" t="n">
        <v>4</v>
      </c>
      <c r="F7" s="31" t="n">
        <v>2420</v>
      </c>
      <c r="G7" s="45"/>
      <c r="H7" s="78"/>
      <c r="I7" s="33"/>
      <c r="J7" s="34"/>
      <c r="K7" s="34"/>
      <c r="L7" s="34"/>
      <c r="M7" s="34"/>
      <c r="N7" s="34"/>
      <c r="O7" s="34"/>
      <c r="P7" s="82"/>
      <c r="Q7" s="36" t="s">
        <v>181</v>
      </c>
      <c r="R7" s="37" t="s">
        <v>182</v>
      </c>
      <c r="S7" s="46" t="n">
        <v>13</v>
      </c>
      <c r="T7" s="38" t="n">
        <v>19100</v>
      </c>
      <c r="U7" s="46"/>
      <c r="V7" s="39"/>
      <c r="W7" s="40" t="n">
        <f aca="false">SUM(E7,S7)</f>
        <v>17</v>
      </c>
      <c r="X7" s="41" t="n">
        <f aca="false">SUM(F7,T7)</f>
        <v>21520</v>
      </c>
      <c r="Y7" s="42"/>
      <c r="Z7" s="43" t="n">
        <v>1998</v>
      </c>
      <c r="AA7" s="43" t="s">
        <v>183</v>
      </c>
    </row>
    <row r="8" customFormat="false" ht="22.35" hidden="false" customHeight="false" outlineLevel="0" collapsed="false">
      <c r="A8" s="27" t="s">
        <v>183</v>
      </c>
      <c r="B8" s="27" t="s"/>
      <c r="C8" s="45" t="s">
        <v>28</v>
      </c>
      <c r="D8" s="44" t="s">
        <v>28</v>
      </c>
      <c r="E8" s="30" t="s">
        <v>28</v>
      </c>
      <c r="F8" s="31" t="s">
        <v>28</v>
      </c>
      <c r="G8" s="44"/>
      <c r="H8" s="77"/>
      <c r="I8" s="33"/>
      <c r="J8" s="34"/>
      <c r="K8" s="34"/>
      <c r="L8" s="34"/>
      <c r="M8" s="34"/>
      <c r="N8" s="34"/>
      <c r="O8" s="34"/>
      <c r="P8" s="35"/>
      <c r="Q8" s="37" t="s">
        <v>184</v>
      </c>
      <c r="R8" s="37" t="s">
        <v>185</v>
      </c>
      <c r="S8" s="46" t="n">
        <v>30</v>
      </c>
      <c r="T8" s="38" t="n">
        <v>43445.8</v>
      </c>
      <c r="U8" s="46"/>
      <c r="V8" s="39"/>
      <c r="W8" s="40" t="n">
        <f aca="false">SUM(E8,S8)</f>
        <v>30</v>
      </c>
      <c r="X8" s="41" t="n">
        <f aca="false">SUM(F8,T8)</f>
        <v>43445.8</v>
      </c>
      <c r="Y8" s="42"/>
      <c r="Z8" s="43" t="n">
        <v>2007</v>
      </c>
      <c r="AA8" s="43" t="s">
        <v>186</v>
      </c>
    </row>
    <row r="9" customFormat="false" ht="22.35" hidden="false" customHeight="false" outlineLevel="0" collapsed="false">
      <c r="A9" s="27" t="s">
        <v>187</v>
      </c>
      <c r="B9" s="27" t="s"/>
      <c r="C9" s="45" t="s">
        <v>28</v>
      </c>
      <c r="D9" s="44" t="s">
        <v>28</v>
      </c>
      <c r="E9" s="30" t="s">
        <v>28</v>
      </c>
      <c r="F9" s="31" t="s">
        <v>28</v>
      </c>
      <c r="G9" s="44"/>
      <c r="H9" s="77"/>
      <c r="I9" s="33"/>
      <c r="J9" s="34"/>
      <c r="K9" s="34"/>
      <c r="L9" s="34"/>
      <c r="M9" s="34"/>
      <c r="N9" s="34"/>
      <c r="O9" s="34"/>
      <c r="P9" s="35"/>
      <c r="Q9" s="94" t="s">
        <v>188</v>
      </c>
      <c r="R9" s="37" t="s">
        <v>189</v>
      </c>
      <c r="S9" s="46" t="n">
        <v>25</v>
      </c>
      <c r="T9" s="38" t="n">
        <v>35733.87</v>
      </c>
      <c r="U9" s="46"/>
      <c r="V9" s="39"/>
      <c r="W9" s="40" t="n">
        <f aca="false">SUM(E9,S9)</f>
        <v>25</v>
      </c>
      <c r="X9" s="41" t="n">
        <f aca="false">SUM(F9,T9)</f>
        <v>35733.87</v>
      </c>
      <c r="Y9" s="42"/>
      <c r="Z9" s="43" t="n">
        <v>2016</v>
      </c>
      <c r="AA9" s="43" t="s">
        <v>190</v>
      </c>
    </row>
    <row r="10" customFormat="false" ht="22.35" hidden="false" customHeight="false" outlineLevel="0" collapsed="false">
      <c r="A10" s="27" t="s">
        <v>191</v>
      </c>
      <c r="B10" s="27" t="s"/>
      <c r="C10" s="45" t="s">
        <v>28</v>
      </c>
      <c r="D10" s="44" t="s">
        <v>28</v>
      </c>
      <c r="E10" s="30" t="s">
        <v>28</v>
      </c>
      <c r="F10" s="31" t="s">
        <v>28</v>
      </c>
      <c r="G10" s="44"/>
      <c r="H10" s="77"/>
      <c r="I10" s="33"/>
      <c r="J10" s="34"/>
      <c r="K10" s="34"/>
      <c r="L10" s="34"/>
      <c r="M10" s="34"/>
      <c r="N10" s="34"/>
      <c r="O10" s="34"/>
      <c r="P10" s="35"/>
      <c r="Q10" s="37" t="s">
        <v>192</v>
      </c>
      <c r="R10" s="37" t="s">
        <v>193</v>
      </c>
      <c r="S10" s="46" t="n">
        <v>68</v>
      </c>
      <c r="T10" s="38" t="n">
        <v>97408.7</v>
      </c>
      <c r="U10" s="46"/>
      <c r="V10" s="39"/>
      <c r="W10" s="40" t="n">
        <f aca="false">SUM(E10,S10)</f>
        <v>68</v>
      </c>
      <c r="X10" s="41" t="n">
        <f aca="false">SUM(F10,T10)</f>
        <v>97408.7</v>
      </c>
      <c r="Y10" s="42"/>
      <c r="Z10" s="43" t="n">
        <v>2023</v>
      </c>
      <c r="AA10" s="43" t="s">
        <v>194</v>
      </c>
    </row>
    <row r="11" customFormat="false" ht="22.35" hidden="false" customHeight="false" outlineLevel="0" collapsed="false">
      <c r="A11" s="27" t="s">
        <v>195</v>
      </c>
      <c r="B11" s="27" t="s"/>
      <c r="C11" s="45" t="s">
        <v>28</v>
      </c>
      <c r="D11" s="44" t="s">
        <v>28</v>
      </c>
      <c r="E11" s="30" t="s">
        <v>28</v>
      </c>
      <c r="F11" s="31" t="s">
        <v>28</v>
      </c>
      <c r="G11" s="44"/>
      <c r="H11" s="77"/>
      <c r="I11" s="33"/>
      <c r="J11" s="34"/>
      <c r="K11" s="34"/>
      <c r="L11" s="34"/>
      <c r="M11" s="34"/>
      <c r="N11" s="34"/>
      <c r="O11" s="34"/>
      <c r="P11" s="35"/>
      <c r="Q11" s="37" t="s">
        <v>196</v>
      </c>
      <c r="R11" s="37" t="s">
        <v>197</v>
      </c>
      <c r="S11" s="46" t="n">
        <v>61</v>
      </c>
      <c r="T11" s="38" t="n">
        <v>87900</v>
      </c>
      <c r="U11" s="46"/>
      <c r="V11" s="39"/>
      <c r="W11" s="40" t="n">
        <f aca="false">SUM(E11,S11)</f>
        <v>61</v>
      </c>
      <c r="X11" s="41" t="n">
        <f aca="false">SUM(F11,T11)</f>
        <v>87900</v>
      </c>
      <c r="Y11" s="42"/>
      <c r="Z11" s="43" t="n">
        <v>2028</v>
      </c>
      <c r="AA11" s="43" t="s">
        <v>198</v>
      </c>
    </row>
    <row r="12" customFormat="false" ht="22.35" hidden="false" customHeight="false" outlineLevel="0" collapsed="false">
      <c r="A12" s="27" t="s">
        <v>194</v>
      </c>
      <c r="B12" s="27" t="s"/>
      <c r="C12" s="28" t="s">
        <v>199</v>
      </c>
      <c r="D12" s="44" t="s">
        <v>28</v>
      </c>
      <c r="E12" s="30" t="n">
        <v>1</v>
      </c>
      <c r="F12" s="31" t="n">
        <v>500</v>
      </c>
      <c r="G12" s="44"/>
      <c r="H12" s="77"/>
      <c r="I12" s="33"/>
      <c r="J12" s="34"/>
      <c r="K12" s="34"/>
      <c r="L12" s="34"/>
      <c r="M12" s="34"/>
      <c r="N12" s="34"/>
      <c r="O12" s="34"/>
      <c r="P12" s="35"/>
      <c r="Q12" s="37" t="s">
        <v>200</v>
      </c>
      <c r="R12" s="37" t="s">
        <v>201</v>
      </c>
      <c r="S12" s="46" t="n">
        <v>44</v>
      </c>
      <c r="T12" s="38" t="n">
        <v>64400</v>
      </c>
      <c r="U12" s="46"/>
      <c r="V12" s="39"/>
      <c r="W12" s="40" t="n">
        <f aca="false">SUM(E12,S12)</f>
        <v>45</v>
      </c>
      <c r="X12" s="41" t="n">
        <f aca="false">SUM(F12,T12)</f>
        <v>64900</v>
      </c>
      <c r="Y12" s="42"/>
      <c r="Z12" s="43" t="n">
        <v>2032</v>
      </c>
      <c r="AA12" s="43" t="s">
        <v>198</v>
      </c>
    </row>
    <row r="13" customFormat="false" ht="22.35" hidden="false" customHeight="false" outlineLevel="0" collapsed="false">
      <c r="A13" s="27" t="s">
        <v>202</v>
      </c>
      <c r="B13" s="27" t="s"/>
      <c r="C13" s="45" t="s">
        <v>28</v>
      </c>
      <c r="D13" s="44" t="s">
        <v>28</v>
      </c>
      <c r="E13" s="30" t="s">
        <v>28</v>
      </c>
      <c r="F13" s="31" t="s">
        <v>28</v>
      </c>
      <c r="G13" s="44"/>
      <c r="H13" s="77"/>
      <c r="I13" s="33"/>
      <c r="J13" s="34"/>
      <c r="K13" s="34"/>
      <c r="L13" s="34"/>
      <c r="M13" s="34"/>
      <c r="N13" s="34"/>
      <c r="O13" s="34"/>
      <c r="P13" s="35"/>
      <c r="Q13" s="37" t="s">
        <v>203</v>
      </c>
      <c r="R13" s="37" t="s">
        <v>204</v>
      </c>
      <c r="S13" s="46" t="n">
        <v>74</v>
      </c>
      <c r="T13" s="38" t="n">
        <v>106223.22</v>
      </c>
      <c r="U13" s="46"/>
      <c r="V13" s="39"/>
      <c r="W13" s="40" t="n">
        <f aca="false">SUM(E13,S13)</f>
        <v>74</v>
      </c>
      <c r="X13" s="41" t="n">
        <f aca="false">SUM(F13,T13)</f>
        <v>106223.22</v>
      </c>
      <c r="Y13" s="42"/>
      <c r="Z13" s="43" t="n">
        <v>2041</v>
      </c>
      <c r="AA13" s="43" t="s">
        <v>205</v>
      </c>
    </row>
    <row r="14" customFormat="false" ht="22.35" hidden="false" customHeight="false" outlineLevel="0" collapsed="false">
      <c r="A14" s="27" t="s">
        <v>205</v>
      </c>
      <c r="B14" s="27" t="s"/>
      <c r="C14" s="28" t="s">
        <v>206</v>
      </c>
      <c r="D14" s="45"/>
      <c r="E14" s="30" t="n">
        <v>1</v>
      </c>
      <c r="F14" s="31" t="n">
        <v>1720</v>
      </c>
      <c r="G14" s="44"/>
      <c r="H14" s="77"/>
      <c r="I14" s="33"/>
      <c r="J14" s="34"/>
      <c r="K14" s="34"/>
      <c r="L14" s="48"/>
      <c r="M14" s="34"/>
      <c r="N14" s="34"/>
      <c r="O14" s="34"/>
      <c r="P14" s="35"/>
      <c r="Q14" s="37" t="s">
        <v>207</v>
      </c>
      <c r="R14" s="37" t="s">
        <v>208</v>
      </c>
      <c r="S14" s="46" t="n">
        <v>56</v>
      </c>
      <c r="T14" s="38" t="n">
        <v>80413.56</v>
      </c>
      <c r="U14" s="46"/>
      <c r="V14" s="39"/>
      <c r="W14" s="40" t="n">
        <f aca="false">SUM(E14,S14)</f>
        <v>57</v>
      </c>
      <c r="X14" s="41" t="n">
        <f aca="false">SUM(F14,T14)</f>
        <v>82133.56</v>
      </c>
      <c r="Y14" s="42"/>
      <c r="Z14" s="43" t="n">
        <v>2054</v>
      </c>
      <c r="AA14" s="43" t="s">
        <v>209</v>
      </c>
    </row>
    <row r="15" customFormat="false" ht="22.35" hidden="false" customHeight="false" outlineLevel="0" collapsed="false">
      <c r="A15" s="27" t="s">
        <v>209</v>
      </c>
      <c r="B15" s="27" t="s"/>
      <c r="C15" s="45" t="s">
        <v>28</v>
      </c>
      <c r="D15" s="44" t="s">
        <v>28</v>
      </c>
      <c r="E15" s="30" t="s">
        <v>28</v>
      </c>
      <c r="F15" s="31" t="s">
        <v>28</v>
      </c>
      <c r="G15" s="44"/>
      <c r="H15" s="77"/>
      <c r="I15" s="33"/>
      <c r="J15" s="34"/>
      <c r="K15" s="34"/>
      <c r="L15" s="48"/>
      <c r="M15" s="34"/>
      <c r="N15" s="34"/>
      <c r="O15" s="34"/>
      <c r="P15" s="35"/>
      <c r="Q15" s="37" t="s">
        <v>210</v>
      </c>
      <c r="R15" s="37" t="s">
        <v>211</v>
      </c>
      <c r="S15" s="46" t="n">
        <v>45</v>
      </c>
      <c r="T15" s="38" t="n">
        <v>62730.96</v>
      </c>
      <c r="U15" s="46"/>
      <c r="V15" s="39"/>
      <c r="W15" s="40" t="n">
        <f aca="false">SUM(E15,S15)</f>
        <v>45</v>
      </c>
      <c r="X15" s="41" t="n">
        <f aca="false">SUM(F15,T15)</f>
        <v>62730.96</v>
      </c>
      <c r="Y15" s="42"/>
      <c r="Z15" s="43" t="n">
        <v>2062</v>
      </c>
      <c r="AA15" s="43" t="s">
        <v>212</v>
      </c>
    </row>
    <row r="16" customFormat="false" ht="22.35" hidden="false" customHeight="false" outlineLevel="0" collapsed="false">
      <c r="A16" s="27" t="s">
        <v>212</v>
      </c>
      <c r="B16" s="27" t="s"/>
      <c r="C16" s="45" t="s">
        <v>28</v>
      </c>
      <c r="D16" s="44" t="s">
        <v>28</v>
      </c>
      <c r="E16" s="30" t="s">
        <v>28</v>
      </c>
      <c r="F16" s="31" t="s">
        <v>28</v>
      </c>
      <c r="G16" s="44"/>
      <c r="H16" s="77"/>
      <c r="I16" s="33"/>
      <c r="J16" s="34"/>
      <c r="K16" s="34"/>
      <c r="L16" s="34"/>
      <c r="M16" s="34"/>
      <c r="N16" s="34"/>
      <c r="O16" s="34"/>
      <c r="P16" s="35"/>
      <c r="Q16" s="37" t="s">
        <v>213</v>
      </c>
      <c r="R16" s="37" t="s">
        <v>214</v>
      </c>
      <c r="S16" s="46" t="n">
        <v>37</v>
      </c>
      <c r="T16" s="38" t="n">
        <v>41572.9</v>
      </c>
      <c r="U16" s="46"/>
      <c r="V16" s="39"/>
      <c r="W16" s="40" t="n">
        <f aca="false">SUM(E16,S16)</f>
        <v>37</v>
      </c>
      <c r="X16" s="41" t="n">
        <f aca="false">SUM(F16,T16)</f>
        <v>41572.9</v>
      </c>
      <c r="Y16" s="42"/>
      <c r="Z16" s="43" t="n">
        <v>2069</v>
      </c>
      <c r="AA16" s="43" t="s">
        <v>215</v>
      </c>
    </row>
    <row r="17" customFormat="false" ht="22.35" hidden="false" customHeight="false" outlineLevel="0" collapsed="false">
      <c r="A17" s="27" t="s">
        <v>215</v>
      </c>
      <c r="B17" s="27" t="s"/>
      <c r="C17" s="28" t="s">
        <v>216</v>
      </c>
      <c r="D17" s="28" t="s">
        <v>217</v>
      </c>
      <c r="E17" s="44" t="n">
        <v>3</v>
      </c>
      <c r="F17" s="31" t="n">
        <v>600</v>
      </c>
      <c r="G17" s="44"/>
      <c r="H17" s="77"/>
      <c r="I17" s="33"/>
      <c r="J17" s="34"/>
      <c r="K17" s="34"/>
      <c r="L17" s="34"/>
      <c r="M17" s="34"/>
      <c r="N17" s="34"/>
      <c r="O17" s="34"/>
      <c r="P17" s="35"/>
      <c r="Q17" s="37" t="s">
        <v>218</v>
      </c>
      <c r="R17" s="37" t="s">
        <v>219</v>
      </c>
      <c r="S17" s="46" t="n">
        <v>54</v>
      </c>
      <c r="T17" s="38" t="n">
        <v>70887.42</v>
      </c>
      <c r="U17" s="46"/>
      <c r="V17" s="39"/>
      <c r="W17" s="40" t="n">
        <f aca="false">SUM(E17,S17)</f>
        <v>57</v>
      </c>
      <c r="X17" s="41" t="n">
        <f aca="false">SUM(F17,T17)</f>
        <v>71487.42</v>
      </c>
      <c r="Y17" s="42"/>
      <c r="Z17" s="43" t="n">
        <v>2078</v>
      </c>
      <c r="AA17" s="43" t="s">
        <v>220</v>
      </c>
    </row>
    <row r="18" customFormat="false" ht="22.35" hidden="false" customHeight="false" outlineLevel="0" collapsed="false">
      <c r="A18" s="27" t="s">
        <v>221</v>
      </c>
      <c r="B18" s="27" t="s"/>
      <c r="C18" s="28" t="s">
        <v>222</v>
      </c>
      <c r="D18" s="28" t="s">
        <v>223</v>
      </c>
      <c r="E18" s="30" t="n">
        <v>3</v>
      </c>
      <c r="F18" s="31" t="n">
        <v>2040</v>
      </c>
      <c r="G18" s="44"/>
      <c r="H18" s="77"/>
      <c r="I18" s="33"/>
      <c r="J18" s="34"/>
      <c r="K18" s="34"/>
      <c r="L18" s="34"/>
      <c r="M18" s="34"/>
      <c r="N18" s="34"/>
      <c r="O18" s="34"/>
      <c r="P18" s="35"/>
      <c r="Q18" s="36" t="s">
        <v>224</v>
      </c>
      <c r="R18" s="37" t="s">
        <v>225</v>
      </c>
      <c r="S18" s="46" t="n">
        <v>53</v>
      </c>
      <c r="T18" s="38" t="n">
        <v>82500</v>
      </c>
      <c r="U18" s="46"/>
      <c r="V18" s="39"/>
      <c r="W18" s="40" t="n">
        <f aca="false">SUM(E18,S18)</f>
        <v>56</v>
      </c>
      <c r="X18" s="41" t="n">
        <f aca="false">SUM(F18,T18)</f>
        <v>84540</v>
      </c>
      <c r="Y18" s="42"/>
      <c r="Z18" s="43" t="n">
        <v>2083</v>
      </c>
      <c r="AA18" s="43" t="s">
        <v>226</v>
      </c>
    </row>
    <row r="19" customFormat="false" ht="22.35" hidden="false" customHeight="false" outlineLevel="0" collapsed="false">
      <c r="A19" s="27" t="s">
        <v>226</v>
      </c>
      <c r="B19" s="27" t="s"/>
      <c r="C19" s="28" t="s">
        <v>227</v>
      </c>
      <c r="D19" s="45" t="s">
        <v>28</v>
      </c>
      <c r="E19" s="44" t="n">
        <v>1</v>
      </c>
      <c r="F19" s="31" t="n">
        <v>1420</v>
      </c>
      <c r="G19" s="44"/>
      <c r="H19" s="77"/>
      <c r="I19" s="33"/>
      <c r="J19" s="34"/>
      <c r="K19" s="34"/>
      <c r="L19" s="34"/>
      <c r="M19" s="34"/>
      <c r="N19" s="34"/>
      <c r="O19" s="34"/>
      <c r="P19" s="35"/>
      <c r="Q19" s="36" t="s">
        <v>228</v>
      </c>
      <c r="R19" s="37" t="s">
        <v>229</v>
      </c>
      <c r="S19" s="46" t="n">
        <v>50</v>
      </c>
      <c r="T19" s="38" t="n">
        <v>64342.58</v>
      </c>
      <c r="U19" s="46"/>
      <c r="V19" s="39"/>
      <c r="W19" s="40" t="n">
        <f aca="false">SUM(E19,S19)</f>
        <v>51</v>
      </c>
      <c r="X19" s="41" t="n">
        <f aca="false">SUM(F19,T19)</f>
        <v>65762.58</v>
      </c>
      <c r="Y19" s="42"/>
      <c r="Z19" s="43" t="n">
        <v>2093</v>
      </c>
      <c r="AA19" s="43" t="s">
        <v>230</v>
      </c>
    </row>
    <row r="20" customFormat="false" ht="22.35" hidden="false" customHeight="false" outlineLevel="0" collapsed="false">
      <c r="A20" s="27" t="s">
        <v>230</v>
      </c>
      <c r="B20" s="27" t="s"/>
      <c r="C20" s="28" t="s">
        <v>231</v>
      </c>
      <c r="D20" s="28" t="s">
        <v>232</v>
      </c>
      <c r="E20" s="30" t="n">
        <v>2</v>
      </c>
      <c r="F20" s="31" t="n">
        <v>400</v>
      </c>
      <c r="G20" s="44"/>
      <c r="H20" s="77"/>
      <c r="I20" s="33"/>
      <c r="J20" s="34"/>
      <c r="K20" s="34"/>
      <c r="L20" s="34"/>
      <c r="M20" s="34"/>
      <c r="N20" s="34"/>
      <c r="O20" s="34"/>
      <c r="P20" s="35"/>
      <c r="Q20" s="37" t="s">
        <v>233</v>
      </c>
      <c r="R20" s="37" t="s">
        <v>234</v>
      </c>
      <c r="S20" s="46" t="n">
        <v>45</v>
      </c>
      <c r="T20" s="38" t="n">
        <v>63200</v>
      </c>
      <c r="U20" s="46"/>
      <c r="V20" s="39"/>
      <c r="W20" s="40" t="n">
        <f aca="false">SUM(E20,S20)</f>
        <v>47</v>
      </c>
      <c r="X20" s="41" t="n">
        <f aca="false">SUM(F20,T20)</f>
        <v>63600</v>
      </c>
      <c r="Y20" s="42"/>
      <c r="Z20" s="43" t="n">
        <v>2101</v>
      </c>
      <c r="AA20" s="43" t="s">
        <v>235</v>
      </c>
    </row>
    <row r="21" customFormat="false" ht="22.35" hidden="false" customHeight="false" outlineLevel="0" collapsed="false">
      <c r="A21" s="27" t="s">
        <v>235</v>
      </c>
      <c r="B21" s="27" t="s"/>
      <c r="C21" s="28" t="s">
        <v>236</v>
      </c>
      <c r="D21" s="29" t="s">
        <v>237</v>
      </c>
      <c r="E21" s="30" t="n">
        <v>2</v>
      </c>
      <c r="F21" s="31" t="n">
        <v>1220</v>
      </c>
      <c r="G21" s="44"/>
      <c r="H21" s="77"/>
      <c r="I21" s="33"/>
      <c r="J21" s="34"/>
      <c r="K21" s="34"/>
      <c r="L21" s="34"/>
      <c r="M21" s="34"/>
      <c r="N21" s="34"/>
      <c r="O21" s="34"/>
      <c r="P21" s="35"/>
      <c r="Q21" s="37" t="s">
        <v>238</v>
      </c>
      <c r="R21" s="37" t="s">
        <v>239</v>
      </c>
      <c r="S21" s="46" t="n">
        <v>47</v>
      </c>
      <c r="T21" s="38" t="n">
        <v>60559.35</v>
      </c>
      <c r="U21" s="46"/>
      <c r="V21" s="39"/>
      <c r="W21" s="40" t="n">
        <f aca="false">SUM(E21,S21)</f>
        <v>49</v>
      </c>
      <c r="X21" s="41" t="n">
        <f aca="false">SUM(F21,T21)</f>
        <v>61779.35</v>
      </c>
      <c r="Y21" s="42"/>
      <c r="Z21" s="43" t="n">
        <v>2110</v>
      </c>
      <c r="AA21" s="43" t="s">
        <v>240</v>
      </c>
    </row>
    <row r="22" customFormat="false" ht="22.35" hidden="false" customHeight="false" outlineLevel="0" collapsed="false">
      <c r="A22" s="27" t="s">
        <v>240</v>
      </c>
      <c r="B22" s="27" t="s"/>
      <c r="C22" s="29" t="s">
        <v>241</v>
      </c>
      <c r="D22" s="29" t="s">
        <v>242</v>
      </c>
      <c r="E22" s="30" t="n">
        <v>4</v>
      </c>
      <c r="F22" s="31" t="n">
        <v>4440</v>
      </c>
      <c r="G22" s="44"/>
      <c r="H22" s="77"/>
      <c r="I22" s="33"/>
      <c r="J22" s="34"/>
      <c r="K22" s="34"/>
      <c r="L22" s="34"/>
      <c r="M22" s="34"/>
      <c r="N22" s="34"/>
      <c r="O22" s="34"/>
      <c r="P22" s="35"/>
      <c r="Q22" s="37" t="s">
        <v>243</v>
      </c>
      <c r="R22" s="37" t="s">
        <v>244</v>
      </c>
      <c r="S22" s="46" t="n">
        <v>28</v>
      </c>
      <c r="T22" s="38" t="n">
        <v>46700</v>
      </c>
      <c r="U22" s="46"/>
      <c r="V22" s="39"/>
      <c r="W22" s="40" t="n">
        <f aca="false">SUM(E22,S22)</f>
        <v>32</v>
      </c>
      <c r="X22" s="41" t="n">
        <f aca="false">SUM(F22,T22)</f>
        <v>51140</v>
      </c>
      <c r="Y22" s="42"/>
      <c r="Z22" s="43" t="n">
        <v>2116</v>
      </c>
      <c r="AA22" s="43" t="s">
        <v>245</v>
      </c>
    </row>
    <row r="23" customFormat="false" ht="22.35" hidden="false" customHeight="false" outlineLevel="0" collapsed="false">
      <c r="A23" s="27" t="s">
        <v>246</v>
      </c>
      <c r="B23" s="27" t="s"/>
      <c r="C23" s="28" t="s">
        <v>247</v>
      </c>
      <c r="D23" s="29" t="s">
        <v>248</v>
      </c>
      <c r="E23" s="30" t="n">
        <v>7</v>
      </c>
      <c r="F23" s="31" t="n">
        <v>9510</v>
      </c>
      <c r="G23" s="44"/>
      <c r="H23" s="77"/>
      <c r="I23" s="33"/>
      <c r="J23" s="34"/>
      <c r="K23" s="34"/>
      <c r="L23" s="34"/>
      <c r="M23" s="34"/>
      <c r="N23" s="34"/>
      <c r="O23" s="34"/>
      <c r="P23" s="35"/>
      <c r="Q23" s="37" t="s">
        <v>249</v>
      </c>
      <c r="R23" s="37" t="s">
        <v>250</v>
      </c>
      <c r="S23" s="46" t="n">
        <v>66</v>
      </c>
      <c r="T23" s="38" t="n">
        <v>75552.26</v>
      </c>
      <c r="U23" s="46"/>
      <c r="V23" s="39"/>
      <c r="W23" s="40" t="n">
        <f aca="false">SUM(E23,S23)</f>
        <v>73</v>
      </c>
      <c r="X23" s="41" t="n">
        <f aca="false">SUM(F23,T23)</f>
        <v>85062.26</v>
      </c>
      <c r="Y23" s="42"/>
      <c r="Z23" s="43" t="n">
        <v>2127</v>
      </c>
      <c r="AA23" s="43" t="s">
        <v>251</v>
      </c>
    </row>
    <row r="24" customFormat="false" ht="22.35" hidden="false" customHeight="false" outlineLevel="0" collapsed="false">
      <c r="A24" s="27" t="s">
        <v>251</v>
      </c>
      <c r="B24" s="27" t="s"/>
      <c r="C24" s="95" t="s">
        <v>252</v>
      </c>
      <c r="D24" s="96" t="s">
        <v>253</v>
      </c>
      <c r="E24" s="30" t="n">
        <v>6</v>
      </c>
      <c r="F24" s="31" t="n">
        <v>8880</v>
      </c>
      <c r="G24" s="44"/>
      <c r="H24" s="77"/>
      <c r="I24" s="33"/>
      <c r="J24" s="34"/>
      <c r="K24" s="34"/>
      <c r="L24" s="34"/>
      <c r="M24" s="34"/>
      <c r="N24" s="34"/>
      <c r="O24" s="34"/>
      <c r="P24" s="35"/>
      <c r="Q24" s="37" t="s">
        <v>254</v>
      </c>
      <c r="R24" s="37" t="s">
        <v>255</v>
      </c>
      <c r="S24" s="46" t="n">
        <v>45</v>
      </c>
      <c r="T24" s="38" t="n">
        <v>55000</v>
      </c>
      <c r="U24" s="46"/>
      <c r="V24" s="39"/>
      <c r="W24" s="40" t="n">
        <f aca="false">SUM(E24,S24)</f>
        <v>51</v>
      </c>
      <c r="X24" s="41" t="n">
        <f aca="false">SUM(F24,T24)</f>
        <v>63880</v>
      </c>
      <c r="Y24" s="42"/>
      <c r="Z24" s="43" t="n">
        <v>2135</v>
      </c>
      <c r="AA24" s="43" t="s">
        <v>256</v>
      </c>
    </row>
    <row r="25" customFormat="false" ht="19.7" hidden="false" customHeight="false" outlineLevel="0" collapsed="false">
      <c r="A25" s="85" t="s">
        <v>96</v>
      </c>
      <c r="B25" s="85" t="s"/>
      <c r="C25" s="85"/>
      <c r="D25" s="85"/>
      <c r="E25" s="86" t="n">
        <f aca="false">SUM(E6:E24)</f>
        <v>35</v>
      </c>
      <c r="F25" s="87" t="n">
        <f aca="false">SUM(F6:F24)</f>
        <v>33350</v>
      </c>
      <c r="G25" s="88"/>
      <c r="H25" s="89"/>
      <c r="I25" s="90" t="s">
        <v>96</v>
      </c>
      <c r="J25" s="90"/>
      <c r="K25" s="90"/>
      <c r="L25" s="90"/>
      <c r="M25" s="88"/>
      <c r="N25" s="88"/>
      <c r="O25" s="88"/>
      <c r="P25" s="89"/>
      <c r="Q25" s="90" t="s">
        <v>96</v>
      </c>
      <c r="R25" s="90"/>
      <c r="S25" s="91" t="n">
        <f aca="false">SUM(S6:S24)</f>
        <v>842</v>
      </c>
      <c r="T25" s="87" t="n">
        <f aca="false">SUM(T6:T24)</f>
        <v>1159370.62</v>
      </c>
      <c r="U25" s="88" t="n">
        <f aca="false">SUM(U6:U24)</f>
        <v>0</v>
      </c>
      <c r="V25" s="89" t="n">
        <f aca="false">SUM(V6:V24)</f>
        <v>0</v>
      </c>
      <c r="W25" s="74" t="n">
        <f aca="false">SUM(W6:W24)</f>
        <v>877</v>
      </c>
      <c r="X25" s="92" t="n">
        <f aca="false">SUM(X6:X24)</f>
        <v>1192720.62</v>
      </c>
      <c r="Y25" s="93"/>
      <c r="Z25" s="88"/>
      <c r="AA25" s="89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mergeCells count="30">
    <mergeCell ref="A1:AA1"/>
    <mergeCell ref="A3:A5"/>
    <mergeCell ref="C3:H3"/>
    <mergeCell ref="I3:P3"/>
    <mergeCell ref="Q3:V3"/>
    <mergeCell ref="W3:X3"/>
    <mergeCell ref="Y3:Y5"/>
    <mergeCell ref="Z3:Z5"/>
    <mergeCell ref="AA3:AA5"/>
    <mergeCell ref="C4:C5"/>
    <mergeCell ref="D4:D5"/>
    <mergeCell ref="E4:E5"/>
    <mergeCell ref="F4:F5"/>
    <mergeCell ref="G4:H4"/>
    <mergeCell ref="I4:J5"/>
    <mergeCell ref="K4:K5"/>
    <mergeCell ref="L4:L5"/>
    <mergeCell ref="M4:M5"/>
    <mergeCell ref="N4:N5"/>
    <mergeCell ref="O4:P4"/>
    <mergeCell ref="Q4:Q5"/>
    <mergeCell ref="R4:R5"/>
    <mergeCell ref="S4:S5"/>
    <mergeCell ref="T4:T5"/>
    <mergeCell ref="U4:V4"/>
    <mergeCell ref="W4:W5"/>
    <mergeCell ref="X4:X5"/>
    <mergeCell ref="A25:D25"/>
    <mergeCell ref="I25:L25"/>
    <mergeCell ref="Q25:R2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>
  <sheetPr filterMode="false">
    <outlinePr summaryBelow="0"/>
    <pageSetUpPr fitToPage="tru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7.25"/>
    <col collapsed="false" customWidth="true" hidden="false" outlineLevel="0" style="0" width="17.25" min="2" max="2"/>
    <col collapsed="false" customWidth="true" hidden="false" outlineLevel="0" max="7" min="7" style="0" width="14.63"/>
    <col collapsed="false" customWidth="true" hidden="false" outlineLevel="0" max="8" min="8" style="0" width="17.5"/>
    <col collapsed="false" customWidth="false" hidden="true" outlineLevel="0" max="16" min="9" style="0" width="12.63"/>
    <col collapsed="false" customWidth="true" hidden="false" outlineLevel="0" max="23" min="23" style="0" width="14.88"/>
    <col collapsed="false" customWidth="true" hidden="false" outlineLevel="0" max="24" min="24" style="0" width="12.5"/>
  </cols>
  <sheetData>
    <row r="1" customFormat="false" ht="26.1" hidden="false" customHeight="false" outlineLevel="0" collapsed="false">
      <c r="A1" s="1" t="s">
        <v>257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2.35" hidden="false" customHeight="true" outlineLevel="0" collapsed="false">
      <c r="A3" s="3" t="s">
        <v>1</v>
      </c>
      <c r="B3" s="3" t="inlineStr">
        <is>
          <t>ข้อมูลกฎหมาย</t>
        </is>
      </c>
      <c r="C3" s="4" t="s">
        <v>2</v>
      </c>
      <c r="D3" s="4"/>
      <c r="E3" s="4"/>
      <c r="F3" s="4"/>
      <c r="G3" s="4"/>
      <c r="H3" s="4"/>
      <c r="I3" s="5" t="s">
        <v>3</v>
      </c>
      <c r="J3" s="5"/>
      <c r="K3" s="5"/>
      <c r="L3" s="5"/>
      <c r="M3" s="5"/>
      <c r="N3" s="5"/>
      <c r="O3" s="5"/>
      <c r="P3" s="5"/>
      <c r="Q3" s="6" t="s">
        <v>4</v>
      </c>
      <c r="R3" s="6"/>
      <c r="S3" s="6"/>
      <c r="T3" s="6"/>
      <c r="U3" s="6"/>
      <c r="V3" s="6"/>
      <c r="W3" s="7" t="s">
        <v>5</v>
      </c>
      <c r="X3" s="7"/>
      <c r="Y3" s="8" t="s">
        <v>6</v>
      </c>
      <c r="Z3" s="9" t="s">
        <v>7</v>
      </c>
      <c r="AA3" s="10" t="s">
        <v>8</v>
      </c>
    </row>
    <row r="4" customFormat="false" ht="22.35" hidden="false" customHeight="false" outlineLevel="0" collapsed="false">
      <c r="A4" s="3"/>
      <c r="B4" s="3" t="inlineStr">
        <is>
          <t>กฎหมาย</t>
        </is>
      </c>
      <c r="C4" s="11" t="s">
        <v>9</v>
      </c>
      <c r="D4" s="12" t="s">
        <v>10</v>
      </c>
      <c r="E4" s="12" t="s">
        <v>11</v>
      </c>
      <c r="F4" s="13" t="s">
        <v>12</v>
      </c>
      <c r="G4" s="14" t="s">
        <v>13</v>
      </c>
      <c r="H4" s="14"/>
      <c r="I4" s="15" t="s">
        <v>14</v>
      </c>
      <c r="J4" s="15"/>
      <c r="K4" s="16" t="s">
        <v>9</v>
      </c>
      <c r="L4" s="16" t="s">
        <v>10</v>
      </c>
      <c r="M4" s="17" t="s">
        <v>11</v>
      </c>
      <c r="N4" s="18" t="s">
        <v>12</v>
      </c>
      <c r="O4" s="19" t="s">
        <v>13</v>
      </c>
      <c r="P4" s="19"/>
      <c r="Q4" s="20" t="s">
        <v>9</v>
      </c>
      <c r="R4" s="21" t="s">
        <v>10</v>
      </c>
      <c r="S4" s="22" t="s">
        <v>11</v>
      </c>
      <c r="T4" s="21" t="s">
        <v>12</v>
      </c>
      <c r="U4" s="23" t="s">
        <v>15</v>
      </c>
      <c r="V4" s="23"/>
      <c r="W4" s="24" t="s">
        <v>16</v>
      </c>
      <c r="X4" s="25" t="s">
        <v>17</v>
      </c>
      <c r="Y4" s="8"/>
      <c r="Z4" s="9"/>
      <c r="AA4" s="9"/>
    </row>
    <row r="5" customFormat="false" ht="19.7" hidden="false" customHeight="false" outlineLevel="0" collapsed="false">
      <c r="A5" s="3"/>
      <c r="B5" s="3"/>
      <c r="C5" s="11"/>
      <c r="D5" s="12"/>
      <c r="E5" s="12"/>
      <c r="F5" s="12"/>
      <c r="G5" s="26" t="s">
        <v>11</v>
      </c>
      <c r="H5" s="14" t="s">
        <v>18</v>
      </c>
      <c r="I5" s="15"/>
      <c r="J5" s="15"/>
      <c r="K5" s="16"/>
      <c r="L5" s="16"/>
      <c r="M5" s="16"/>
      <c r="N5" s="16"/>
      <c r="O5" s="17" t="s">
        <v>11</v>
      </c>
      <c r="P5" s="19" t="s">
        <v>18</v>
      </c>
      <c r="Q5" s="20"/>
      <c r="R5" s="21"/>
      <c r="S5" s="21"/>
      <c r="T5" s="21"/>
      <c r="U5" s="22" t="s">
        <v>11</v>
      </c>
      <c r="V5" s="23" t="s">
        <v>18</v>
      </c>
      <c r="W5" s="24"/>
      <c r="X5" s="25"/>
      <c r="Y5" s="8"/>
      <c r="Z5" s="9"/>
      <c r="AA5" s="9"/>
    </row>
    <row r="6" customFormat="false" ht="22.35" hidden="false" customHeight="false" outlineLevel="0" collapsed="false">
      <c r="A6" s="27" t="s">
        <v>258</v>
      </c>
      <c r="B6" s="27" t="s"/>
      <c r="C6" s="28" t="s">
        <v>259</v>
      </c>
      <c r="D6" s="29" t="s">
        <v>260</v>
      </c>
      <c r="E6" s="30" t="n">
        <v>5</v>
      </c>
      <c r="F6" s="31" t="n">
        <v>2200</v>
      </c>
      <c r="G6" s="44"/>
      <c r="H6" s="77"/>
      <c r="I6" s="33"/>
      <c r="J6" s="34"/>
      <c r="K6" s="34"/>
      <c r="L6" s="34"/>
      <c r="M6" s="34"/>
      <c r="N6" s="34"/>
      <c r="O6" s="34"/>
      <c r="P6" s="35"/>
      <c r="Q6" s="37" t="s">
        <v>261</v>
      </c>
      <c r="R6" s="37" t="s">
        <v>262</v>
      </c>
      <c r="S6" s="46" t="n">
        <v>45</v>
      </c>
      <c r="T6" s="38" t="n">
        <v>56899.03</v>
      </c>
      <c r="U6" s="46"/>
      <c r="V6" s="39"/>
      <c r="W6" s="40" t="n">
        <f aca="false">SUM(E6,S6)</f>
        <v>50</v>
      </c>
      <c r="X6" s="41" t="n">
        <f aca="false">SUM(F6,T6)</f>
        <v>59099.03</v>
      </c>
      <c r="Y6" s="42"/>
      <c r="Z6" s="43" t="n">
        <v>3</v>
      </c>
      <c r="AA6" s="43" t="s">
        <v>263</v>
      </c>
    </row>
    <row r="7" customFormat="false" ht="22.35" hidden="false" customHeight="false" outlineLevel="0" collapsed="false">
      <c r="A7" s="27" t="s">
        <v>264</v>
      </c>
      <c r="B7" s="27" t="s"/>
      <c r="C7" s="45" t="s">
        <v>28</v>
      </c>
      <c r="D7" s="45" t="s">
        <v>28</v>
      </c>
      <c r="E7" s="30" t="s">
        <v>28</v>
      </c>
      <c r="F7" s="31" t="s">
        <v>28</v>
      </c>
      <c r="G7" s="45"/>
      <c r="H7" s="78"/>
      <c r="I7" s="33"/>
      <c r="J7" s="34"/>
      <c r="K7" s="34"/>
      <c r="L7" s="34"/>
      <c r="M7" s="34"/>
      <c r="N7" s="34"/>
      <c r="O7" s="34"/>
      <c r="P7" s="82"/>
      <c r="Q7" s="36" t="s">
        <v>265</v>
      </c>
      <c r="R7" s="37" t="s">
        <v>266</v>
      </c>
      <c r="S7" s="46" t="n">
        <v>86</v>
      </c>
      <c r="T7" s="38" t="n">
        <v>113004.84</v>
      </c>
      <c r="U7" s="46"/>
      <c r="V7" s="39"/>
      <c r="W7" s="40" t="n">
        <f aca="false">SUM(E7,S7)</f>
        <v>86</v>
      </c>
      <c r="X7" s="41" t="n">
        <f aca="false">SUM(F7,T7)</f>
        <v>113004.84</v>
      </c>
      <c r="Y7" s="42"/>
      <c r="Z7" s="43" t="n">
        <v>13</v>
      </c>
      <c r="AA7" s="43" t="s">
        <v>267</v>
      </c>
    </row>
    <row r="8" customFormat="false" ht="22.35" hidden="false" customHeight="false" outlineLevel="0" collapsed="false">
      <c r="A8" s="27" t="s">
        <v>268</v>
      </c>
      <c r="B8" s="27" t="s"/>
      <c r="C8" s="28" t="s">
        <v>269</v>
      </c>
      <c r="D8" s="29" t="s">
        <v>270</v>
      </c>
      <c r="E8" s="30" t="n">
        <v>2</v>
      </c>
      <c r="F8" s="31" t="n">
        <v>800</v>
      </c>
      <c r="G8" s="44"/>
      <c r="H8" s="77"/>
      <c r="I8" s="33"/>
      <c r="J8" s="34"/>
      <c r="K8" s="34"/>
      <c r="L8" s="34"/>
      <c r="M8" s="34"/>
      <c r="N8" s="34"/>
      <c r="O8" s="34"/>
      <c r="P8" s="35"/>
      <c r="Q8" s="37" t="s">
        <v>271</v>
      </c>
      <c r="R8" s="37" t="s">
        <v>272</v>
      </c>
      <c r="S8" s="46" t="n">
        <v>79</v>
      </c>
      <c r="T8" s="38" t="n">
        <v>109611.62</v>
      </c>
      <c r="U8" s="46"/>
      <c r="V8" s="39"/>
      <c r="W8" s="40" t="n">
        <f aca="false">SUM(E8,S8)</f>
        <v>81</v>
      </c>
      <c r="X8" s="41" t="n">
        <f aca="false">SUM(F8,T8)</f>
        <v>110411.62</v>
      </c>
      <c r="Y8" s="42"/>
      <c r="Z8" s="43" t="n">
        <v>19</v>
      </c>
      <c r="AA8" s="43" t="s">
        <v>273</v>
      </c>
    </row>
    <row r="9" customFormat="false" ht="22.35" hidden="false" customHeight="false" outlineLevel="0" collapsed="false">
      <c r="A9" s="27" t="s">
        <v>274</v>
      </c>
      <c r="B9" s="27" t="s"/>
      <c r="C9" s="28" t="s">
        <v>275</v>
      </c>
      <c r="D9" s="44" t="s">
        <v>28</v>
      </c>
      <c r="E9" s="30" t="n">
        <v>1</v>
      </c>
      <c r="F9" s="31" t="n">
        <v>200</v>
      </c>
      <c r="G9" s="44"/>
      <c r="H9" s="77"/>
      <c r="I9" s="33"/>
      <c r="J9" s="34"/>
      <c r="K9" s="34"/>
      <c r="L9" s="34"/>
      <c r="M9" s="34"/>
      <c r="N9" s="34"/>
      <c r="O9" s="34"/>
      <c r="P9" s="35"/>
      <c r="Q9" s="94" t="s">
        <v>276</v>
      </c>
      <c r="R9" s="37" t="s">
        <v>277</v>
      </c>
      <c r="S9" s="46" t="n">
        <v>67</v>
      </c>
      <c r="T9" s="38" t="n">
        <v>113506.77</v>
      </c>
      <c r="U9" s="46"/>
      <c r="V9" s="39"/>
      <c r="W9" s="40" t="n">
        <f aca="false">SUM(E9,S9)</f>
        <v>68</v>
      </c>
      <c r="X9" s="41" t="n">
        <f aca="false">SUM(F9,T9)</f>
        <v>113706.77</v>
      </c>
      <c r="Y9" s="42"/>
      <c r="Z9" s="43" t="n">
        <v>25</v>
      </c>
      <c r="AA9" s="43" t="s">
        <v>278</v>
      </c>
    </row>
    <row r="10" customFormat="false" ht="22.35" hidden="false" customHeight="false" outlineLevel="0" collapsed="false">
      <c r="A10" s="27" t="s">
        <v>279</v>
      </c>
      <c r="B10" s="27" t="s"/>
      <c r="C10" s="28" t="s">
        <v>280</v>
      </c>
      <c r="D10" s="29" t="s">
        <v>281</v>
      </c>
      <c r="E10" s="30" t="n">
        <v>2</v>
      </c>
      <c r="F10" s="31" t="n">
        <v>5500</v>
      </c>
      <c r="G10" s="44"/>
      <c r="H10" s="77"/>
      <c r="I10" s="33"/>
      <c r="J10" s="34"/>
      <c r="K10" s="34"/>
      <c r="L10" s="34"/>
      <c r="M10" s="34"/>
      <c r="N10" s="34"/>
      <c r="O10" s="34"/>
      <c r="P10" s="35"/>
      <c r="Q10" s="37" t="s">
        <v>282</v>
      </c>
      <c r="R10" s="37" t="s">
        <v>283</v>
      </c>
      <c r="S10" s="46" t="n">
        <v>59</v>
      </c>
      <c r="T10" s="38" t="n">
        <v>81800</v>
      </c>
      <c r="U10" s="46"/>
      <c r="V10" s="39"/>
      <c r="W10" s="40" t="n">
        <f aca="false">SUM(E10,S10)</f>
        <v>61</v>
      </c>
      <c r="X10" s="41" t="n">
        <f aca="false">SUM(F10,T10)</f>
        <v>87300</v>
      </c>
      <c r="Y10" s="42"/>
      <c r="Z10" s="43" t="n">
        <v>32</v>
      </c>
      <c r="AA10" s="43" t="s">
        <v>284</v>
      </c>
    </row>
    <row r="11" customFormat="false" ht="22.35" hidden="false" customHeight="false" outlineLevel="0" collapsed="false">
      <c r="A11" s="27" t="s">
        <v>285</v>
      </c>
      <c r="B11" s="27" t="s"/>
      <c r="C11" s="28" t="s">
        <v>286</v>
      </c>
      <c r="D11" s="28" t="s">
        <v>287</v>
      </c>
      <c r="E11" s="30" t="n">
        <v>3</v>
      </c>
      <c r="F11" s="31" t="n">
        <v>1350</v>
      </c>
      <c r="G11" s="44"/>
      <c r="H11" s="77"/>
      <c r="I11" s="33"/>
      <c r="J11" s="34"/>
      <c r="K11" s="34"/>
      <c r="L11" s="34"/>
      <c r="M11" s="34"/>
      <c r="N11" s="34"/>
      <c r="O11" s="34"/>
      <c r="P11" s="35"/>
      <c r="Q11" s="37" t="s">
        <v>288</v>
      </c>
      <c r="R11" s="37" t="s">
        <v>289</v>
      </c>
      <c r="S11" s="46" t="n">
        <v>48</v>
      </c>
      <c r="T11" s="38" t="n">
        <v>88200</v>
      </c>
      <c r="U11" s="46"/>
      <c r="V11" s="39"/>
      <c r="W11" s="40" t="n">
        <f aca="false">SUM(E11,S11)</f>
        <v>51</v>
      </c>
      <c r="X11" s="41" t="n">
        <f aca="false">SUM(F11,T11)</f>
        <v>89550</v>
      </c>
      <c r="Y11" s="42"/>
      <c r="Z11" s="43" t="n">
        <v>39</v>
      </c>
      <c r="AA11" s="43" t="s">
        <v>290</v>
      </c>
    </row>
    <row r="12" customFormat="false" ht="22.35" hidden="false" customHeight="false" outlineLevel="0" collapsed="false">
      <c r="A12" s="27" t="s">
        <v>291</v>
      </c>
      <c r="B12" s="27" t="s"/>
      <c r="C12" s="28" t="s">
        <v>292</v>
      </c>
      <c r="D12" s="44" t="s">
        <v>28</v>
      </c>
      <c r="E12" s="30" t="n">
        <v>1</v>
      </c>
      <c r="F12" s="31" t="n">
        <v>1620</v>
      </c>
      <c r="G12" s="44"/>
      <c r="H12" s="77"/>
      <c r="I12" s="33"/>
      <c r="J12" s="34"/>
      <c r="K12" s="34"/>
      <c r="L12" s="34"/>
      <c r="M12" s="34"/>
      <c r="N12" s="34"/>
      <c r="O12" s="34"/>
      <c r="P12" s="35"/>
      <c r="Q12" s="37" t="s">
        <v>293</v>
      </c>
      <c r="R12" s="37" t="s">
        <v>294</v>
      </c>
      <c r="S12" s="46" t="n">
        <v>50</v>
      </c>
      <c r="T12" s="38" t="n">
        <v>87323.22</v>
      </c>
      <c r="U12" s="46"/>
      <c r="V12" s="39"/>
      <c r="W12" s="40" t="n">
        <f aca="false">SUM(E12,S12)</f>
        <v>51</v>
      </c>
      <c r="X12" s="41" t="n">
        <f aca="false">SUM(F12,T12)</f>
        <v>88943.22</v>
      </c>
      <c r="Y12" s="42"/>
      <c r="Z12" s="43" t="n">
        <v>46</v>
      </c>
      <c r="AA12" s="43" t="s">
        <v>295</v>
      </c>
    </row>
    <row r="13" customFormat="false" ht="22.35" hidden="false" customHeight="false" outlineLevel="0" collapsed="false">
      <c r="A13" s="27" t="s">
        <v>296</v>
      </c>
      <c r="B13" s="27" t="s"/>
      <c r="C13" s="45" t="s">
        <v>28</v>
      </c>
      <c r="D13" s="44" t="s">
        <v>28</v>
      </c>
      <c r="E13" s="30" t="s">
        <v>28</v>
      </c>
      <c r="F13" s="31" t="s">
        <v>28</v>
      </c>
      <c r="G13" s="44"/>
      <c r="H13" s="77"/>
      <c r="I13" s="33"/>
      <c r="J13" s="34"/>
      <c r="K13" s="34"/>
      <c r="L13" s="34"/>
      <c r="M13" s="34"/>
      <c r="N13" s="34"/>
      <c r="O13" s="34"/>
      <c r="P13" s="35"/>
      <c r="Q13" s="37" t="s">
        <v>297</v>
      </c>
      <c r="R13" s="37" t="s">
        <v>298</v>
      </c>
      <c r="S13" s="46" t="n">
        <v>56</v>
      </c>
      <c r="T13" s="38" t="n">
        <v>74000</v>
      </c>
      <c r="U13" s="46"/>
      <c r="V13" s="39"/>
      <c r="W13" s="40" t="n">
        <f aca="false">SUM(E13,S13)</f>
        <v>56</v>
      </c>
      <c r="X13" s="41" t="n">
        <f aca="false">SUM(F13,T13)</f>
        <v>74000</v>
      </c>
      <c r="Y13" s="42"/>
      <c r="Z13" s="43" t="n">
        <v>56</v>
      </c>
      <c r="AA13" s="43" t="s">
        <v>299</v>
      </c>
    </row>
    <row r="14" customFormat="false" ht="22.35" hidden="false" customHeight="false" outlineLevel="0" collapsed="false">
      <c r="A14" s="27" t="s">
        <v>300</v>
      </c>
      <c r="B14" s="27" t="s"/>
      <c r="C14" s="28" t="s">
        <v>301</v>
      </c>
      <c r="D14" s="45" t="s">
        <v>28</v>
      </c>
      <c r="E14" s="30" t="n">
        <v>1</v>
      </c>
      <c r="F14" s="31" t="n">
        <v>2500</v>
      </c>
      <c r="G14" s="44"/>
      <c r="H14" s="77"/>
      <c r="I14" s="33"/>
      <c r="J14" s="34"/>
      <c r="K14" s="34"/>
      <c r="L14" s="48"/>
      <c r="M14" s="34"/>
      <c r="N14" s="34"/>
      <c r="O14" s="34"/>
      <c r="P14" s="35"/>
      <c r="Q14" s="37" t="s">
        <v>302</v>
      </c>
      <c r="R14" s="37" t="s">
        <v>303</v>
      </c>
      <c r="S14" s="46" t="n">
        <v>52</v>
      </c>
      <c r="T14" s="38" t="n">
        <v>61913.55</v>
      </c>
      <c r="U14" s="46"/>
      <c r="V14" s="39"/>
      <c r="W14" s="40" t="n">
        <f aca="false">SUM(E14,S14)</f>
        <v>53</v>
      </c>
      <c r="X14" s="41" t="n">
        <f aca="false">SUM(F14,T14)</f>
        <v>64413.55</v>
      </c>
      <c r="Y14" s="42"/>
      <c r="Z14" s="43" t="n">
        <v>63</v>
      </c>
      <c r="AA14" s="43" t="s">
        <v>304</v>
      </c>
    </row>
    <row r="15" customFormat="false" ht="22.35" hidden="false" customHeight="false" outlineLevel="0" collapsed="false">
      <c r="A15" s="27" t="s">
        <v>305</v>
      </c>
      <c r="B15" s="27" t="s"/>
      <c r="C15" s="45" t="s">
        <v>28</v>
      </c>
      <c r="D15" s="44" t="s">
        <v>28</v>
      </c>
      <c r="E15" s="30" t="s">
        <v>28</v>
      </c>
      <c r="F15" s="31" t="s">
        <v>28</v>
      </c>
      <c r="G15" s="44"/>
      <c r="H15" s="77"/>
      <c r="I15" s="33"/>
      <c r="J15" s="34"/>
      <c r="K15" s="34"/>
      <c r="L15" s="48"/>
      <c r="M15" s="34"/>
      <c r="N15" s="34"/>
      <c r="O15" s="34"/>
      <c r="P15" s="35"/>
      <c r="Q15" s="37" t="s">
        <v>306</v>
      </c>
      <c r="R15" s="37" t="s">
        <v>307</v>
      </c>
      <c r="S15" s="46" t="n">
        <v>39</v>
      </c>
      <c r="T15" s="38" t="n">
        <v>42500</v>
      </c>
      <c r="U15" s="46"/>
      <c r="V15" s="39"/>
      <c r="W15" s="40" t="n">
        <f aca="false">SUM(E15,S15)</f>
        <v>39</v>
      </c>
      <c r="X15" s="41" t="n">
        <f aca="false">SUM(F15,T15)</f>
        <v>42500</v>
      </c>
      <c r="Y15" s="42"/>
      <c r="Z15" s="43" t="n">
        <v>68</v>
      </c>
      <c r="AA15" s="43" t="s">
        <v>308</v>
      </c>
    </row>
    <row r="16" customFormat="false" ht="22.35" hidden="false" customHeight="false" outlineLevel="0" collapsed="false">
      <c r="A16" s="27" t="s">
        <v>309</v>
      </c>
      <c r="B16" s="27" t="s"/>
      <c r="C16" s="45" t="s">
        <v>28</v>
      </c>
      <c r="D16" s="44" t="s">
        <v>28</v>
      </c>
      <c r="E16" s="30" t="s">
        <v>28</v>
      </c>
      <c r="F16" s="31" t="s">
        <v>28</v>
      </c>
      <c r="G16" s="44"/>
      <c r="H16" s="77"/>
      <c r="I16" s="33"/>
      <c r="J16" s="34"/>
      <c r="K16" s="34"/>
      <c r="L16" s="34"/>
      <c r="M16" s="34"/>
      <c r="N16" s="34"/>
      <c r="O16" s="34"/>
      <c r="P16" s="35"/>
      <c r="Q16" s="37" t="s">
        <v>310</v>
      </c>
      <c r="R16" s="37" t="s">
        <v>311</v>
      </c>
      <c r="S16" s="46" t="n">
        <v>37</v>
      </c>
      <c r="T16" s="38" t="n">
        <v>45816.45</v>
      </c>
      <c r="U16" s="46"/>
      <c r="V16" s="39"/>
      <c r="W16" s="40" t="n">
        <f aca="false">SUM(E16,S16)</f>
        <v>37</v>
      </c>
      <c r="X16" s="41" t="n">
        <f aca="false">SUM(F16,T16)</f>
        <v>45816.45</v>
      </c>
      <c r="Y16" s="42"/>
      <c r="Z16" s="43" t="n">
        <v>78</v>
      </c>
      <c r="AA16" s="43" t="s">
        <v>312</v>
      </c>
    </row>
    <row r="17" customFormat="false" ht="22.35" hidden="false" customHeight="false" outlineLevel="0" collapsed="false">
      <c r="A17" s="27" t="s">
        <v>313</v>
      </c>
      <c r="B17" s="27" t="s"/>
      <c r="C17" s="45" t="s">
        <v>28</v>
      </c>
      <c r="D17" s="44" t="s">
        <v>28</v>
      </c>
      <c r="E17" s="30" t="s">
        <v>28</v>
      </c>
      <c r="F17" s="31" t="s">
        <v>28</v>
      </c>
      <c r="G17" s="44"/>
      <c r="H17" s="77"/>
      <c r="I17" s="33"/>
      <c r="J17" s="34"/>
      <c r="K17" s="34"/>
      <c r="L17" s="34"/>
      <c r="M17" s="34"/>
      <c r="N17" s="34"/>
      <c r="O17" s="34"/>
      <c r="P17" s="35"/>
      <c r="Q17" s="37" t="s">
        <v>314</v>
      </c>
      <c r="R17" s="37" t="s">
        <v>315</v>
      </c>
      <c r="S17" s="46" t="n">
        <v>57</v>
      </c>
      <c r="T17" s="38" t="n">
        <v>64718.39</v>
      </c>
      <c r="U17" s="46"/>
      <c r="V17" s="39"/>
      <c r="W17" s="40" t="n">
        <f aca="false">SUM(E17,S17)</f>
        <v>57</v>
      </c>
      <c r="X17" s="41" t="n">
        <f aca="false">SUM(F17,T17)</f>
        <v>64718.39</v>
      </c>
      <c r="Y17" s="42"/>
      <c r="Z17" s="43" t="n">
        <v>82</v>
      </c>
      <c r="AA17" s="43" t="s">
        <v>316</v>
      </c>
    </row>
    <row r="18" customFormat="false" ht="22.35" hidden="false" customHeight="false" outlineLevel="0" collapsed="false">
      <c r="A18" s="27" t="s">
        <v>317</v>
      </c>
      <c r="B18" s="27" t="s"/>
      <c r="C18" s="28" t="s">
        <v>318</v>
      </c>
      <c r="D18" s="28" t="s">
        <v>319</v>
      </c>
      <c r="E18" s="30" t="n">
        <v>2</v>
      </c>
      <c r="F18" s="31" t="n">
        <v>2320</v>
      </c>
      <c r="G18" s="44"/>
      <c r="H18" s="77"/>
      <c r="I18" s="33"/>
      <c r="J18" s="34"/>
      <c r="K18" s="34"/>
      <c r="L18" s="34"/>
      <c r="M18" s="34"/>
      <c r="N18" s="34"/>
      <c r="O18" s="34"/>
      <c r="P18" s="35"/>
      <c r="Q18" s="36" t="s">
        <v>320</v>
      </c>
      <c r="R18" s="37" t="s">
        <v>321</v>
      </c>
      <c r="S18" s="46" t="n">
        <v>59</v>
      </c>
      <c r="T18" s="38" t="n">
        <v>109419.35</v>
      </c>
      <c r="U18" s="46"/>
      <c r="V18" s="39"/>
      <c r="W18" s="40" t="n">
        <f aca="false">SUM(E18,S18)</f>
        <v>61</v>
      </c>
      <c r="X18" s="41" t="n">
        <f aca="false">SUM(F18,T18)</f>
        <v>111739.35</v>
      </c>
      <c r="Y18" s="42"/>
      <c r="Z18" s="43" t="n">
        <v>94</v>
      </c>
      <c r="AA18" s="43" t="s">
        <v>322</v>
      </c>
    </row>
    <row r="19" customFormat="false" ht="22.35" hidden="false" customHeight="false" outlineLevel="0" collapsed="false">
      <c r="A19" s="27" t="s">
        <v>323</v>
      </c>
      <c r="B19" s="27" t="s"/>
      <c r="C19" s="28" t="s">
        <v>324</v>
      </c>
      <c r="D19" s="28" t="s">
        <v>325</v>
      </c>
      <c r="E19" s="44" t="n">
        <v>5</v>
      </c>
      <c r="F19" s="31" t="n">
        <v>2300</v>
      </c>
      <c r="G19" s="44"/>
      <c r="H19" s="77"/>
      <c r="I19" s="33"/>
      <c r="J19" s="34"/>
      <c r="K19" s="34"/>
      <c r="L19" s="34"/>
      <c r="M19" s="34"/>
      <c r="N19" s="34"/>
      <c r="O19" s="34"/>
      <c r="P19" s="35"/>
      <c r="Q19" s="36" t="s">
        <v>326</v>
      </c>
      <c r="R19" s="37" t="s">
        <v>327</v>
      </c>
      <c r="S19" s="46" t="n">
        <v>33</v>
      </c>
      <c r="T19" s="38" t="n">
        <v>33300</v>
      </c>
      <c r="U19" s="46"/>
      <c r="V19" s="39"/>
      <c r="W19" s="40" t="n">
        <f aca="false">SUM(E19,S19)</f>
        <v>38</v>
      </c>
      <c r="X19" s="41" t="n">
        <f aca="false">SUM(F19,T19)</f>
        <v>35600</v>
      </c>
      <c r="Y19" s="42"/>
      <c r="Z19" s="43" t="n">
        <v>100</v>
      </c>
      <c r="AA19" s="43" t="s">
        <v>328</v>
      </c>
    </row>
    <row r="20" customFormat="false" ht="22.35" hidden="false" customHeight="false" outlineLevel="0" collapsed="false">
      <c r="A20" s="27" t="s">
        <v>329</v>
      </c>
      <c r="B20" s="27" t="s"/>
      <c r="C20" s="28" t="s">
        <v>330</v>
      </c>
      <c r="D20" s="45" t="s">
        <v>28</v>
      </c>
      <c r="E20" s="30" t="n">
        <v>1</v>
      </c>
      <c r="F20" s="31" t="n">
        <v>450</v>
      </c>
      <c r="G20" s="44"/>
      <c r="H20" s="77"/>
      <c r="I20" s="33"/>
      <c r="J20" s="34"/>
      <c r="K20" s="34"/>
      <c r="L20" s="34"/>
      <c r="M20" s="34"/>
      <c r="N20" s="34"/>
      <c r="O20" s="34"/>
      <c r="P20" s="35"/>
      <c r="Q20" s="97" t="s">
        <v>331</v>
      </c>
      <c r="R20" s="97" t="s">
        <v>332</v>
      </c>
      <c r="S20" s="46" t="n">
        <v>40</v>
      </c>
      <c r="T20" s="38" t="n">
        <v>52600</v>
      </c>
      <c r="U20" s="46"/>
      <c r="V20" s="39"/>
      <c r="W20" s="40" t="n">
        <f aca="false">SUM(E20,S20)</f>
        <v>41</v>
      </c>
      <c r="X20" s="41" t="n">
        <f aca="false">SUM(F20,T20)</f>
        <v>53050</v>
      </c>
      <c r="Y20" s="42"/>
      <c r="Z20" s="43" t="n">
        <v>109</v>
      </c>
      <c r="AA20" s="43" t="s">
        <v>333</v>
      </c>
    </row>
    <row r="21" customFormat="false" ht="22.35" hidden="false" customHeight="false" outlineLevel="0" collapsed="false">
      <c r="A21" s="27" t="s">
        <v>334</v>
      </c>
      <c r="B21" s="27" t="s"/>
      <c r="C21" s="45" t="s">
        <v>28</v>
      </c>
      <c r="D21" s="45" t="s">
        <v>28</v>
      </c>
      <c r="E21" s="30" t="s">
        <v>28</v>
      </c>
      <c r="F21" s="31" t="s">
        <v>28</v>
      </c>
      <c r="G21" s="44"/>
      <c r="H21" s="77"/>
      <c r="I21" s="33"/>
      <c r="J21" s="34"/>
      <c r="K21" s="34"/>
      <c r="L21" s="34"/>
      <c r="M21" s="34"/>
      <c r="N21" s="34"/>
      <c r="O21" s="34"/>
      <c r="P21" s="35"/>
      <c r="Q21" s="97" t="s">
        <v>335</v>
      </c>
      <c r="R21" s="37" t="s">
        <v>336</v>
      </c>
      <c r="S21" s="46" t="n">
        <v>38</v>
      </c>
      <c r="T21" s="38" t="n">
        <v>48800</v>
      </c>
      <c r="U21" s="46"/>
      <c r="V21" s="39"/>
      <c r="W21" s="40" t="n">
        <f aca="false">SUM(E21,S21)</f>
        <v>38</v>
      </c>
      <c r="X21" s="41" t="n">
        <f aca="false">SUM(F21,T21)</f>
        <v>48800</v>
      </c>
      <c r="Y21" s="42"/>
      <c r="Z21" s="43" t="n">
        <v>117</v>
      </c>
      <c r="AA21" s="43" t="s">
        <v>337</v>
      </c>
    </row>
    <row r="22" customFormat="false" ht="22.35" hidden="false" customHeight="false" outlineLevel="0" collapsed="false">
      <c r="A22" s="27" t="s">
        <v>338</v>
      </c>
      <c r="B22" s="27" t="s"/>
      <c r="C22" s="28" t="s">
        <v>339</v>
      </c>
      <c r="D22" s="45" t="s">
        <v>28</v>
      </c>
      <c r="E22" s="30" t="n">
        <v>1</v>
      </c>
      <c r="F22" s="31" t="n">
        <v>2600</v>
      </c>
      <c r="G22" s="44"/>
      <c r="H22" s="77"/>
      <c r="I22" s="33"/>
      <c r="J22" s="34"/>
      <c r="K22" s="34"/>
      <c r="L22" s="34"/>
      <c r="M22" s="34"/>
      <c r="N22" s="34"/>
      <c r="O22" s="34"/>
      <c r="P22" s="35"/>
      <c r="Q22" s="37" t="s">
        <v>340</v>
      </c>
      <c r="R22" s="37" t="s">
        <v>341</v>
      </c>
      <c r="S22" s="46" t="n">
        <v>51</v>
      </c>
      <c r="T22" s="38" t="n">
        <v>58950.32</v>
      </c>
      <c r="U22" s="46"/>
      <c r="V22" s="39"/>
      <c r="W22" s="40" t="n">
        <f aca="false">SUM(E22,S22)</f>
        <v>52</v>
      </c>
      <c r="X22" s="41" t="n">
        <f aca="false">SUM(F22,T22)</f>
        <v>61550.32</v>
      </c>
      <c r="Y22" s="42"/>
      <c r="Z22" s="43" t="n">
        <v>125</v>
      </c>
      <c r="AA22" s="43" t="s">
        <v>342</v>
      </c>
    </row>
    <row r="23" customFormat="false" ht="22.35" hidden="false" customHeight="false" outlineLevel="0" collapsed="false">
      <c r="A23" s="27" t="s">
        <v>343</v>
      </c>
      <c r="B23" s="27" t="s"/>
      <c r="C23" s="45" t="s">
        <v>28</v>
      </c>
      <c r="D23" s="45" t="s">
        <v>28</v>
      </c>
      <c r="E23" s="30" t="s">
        <v>28</v>
      </c>
      <c r="F23" s="31" t="s">
        <v>28</v>
      </c>
      <c r="G23" s="44"/>
      <c r="H23" s="77"/>
      <c r="I23" s="33"/>
      <c r="J23" s="34"/>
      <c r="K23" s="34"/>
      <c r="L23" s="34"/>
      <c r="M23" s="34"/>
      <c r="N23" s="34"/>
      <c r="O23" s="34"/>
      <c r="P23" s="35"/>
      <c r="Q23" s="37" t="s">
        <v>344</v>
      </c>
      <c r="R23" s="37" t="s">
        <v>345</v>
      </c>
      <c r="S23" s="46" t="n">
        <v>39</v>
      </c>
      <c r="T23" s="38" t="n">
        <v>46326.13</v>
      </c>
      <c r="U23" s="46"/>
      <c r="V23" s="39"/>
      <c r="W23" s="40" t="n">
        <f aca="false">SUM(E23,S23)</f>
        <v>39</v>
      </c>
      <c r="X23" s="41" t="n">
        <f aca="false">SUM(F23,T23)</f>
        <v>46326.13</v>
      </c>
      <c r="Y23" s="42"/>
      <c r="Z23" s="43" t="n">
        <v>131</v>
      </c>
      <c r="AA23" s="43" t="s">
        <v>346</v>
      </c>
    </row>
    <row r="24" customFormat="false" ht="22.35" hidden="false" customHeight="false" outlineLevel="0" collapsed="false">
      <c r="A24" s="27" t="s">
        <v>347</v>
      </c>
      <c r="B24" s="27" t="s"/>
      <c r="C24" s="29" t="s">
        <v>348</v>
      </c>
      <c r="D24" s="29" t="s">
        <v>349</v>
      </c>
      <c r="E24" s="30" t="n">
        <v>2</v>
      </c>
      <c r="F24" s="31" t="n">
        <v>1540</v>
      </c>
      <c r="G24" s="44"/>
      <c r="H24" s="77"/>
      <c r="I24" s="33"/>
      <c r="J24" s="34"/>
      <c r="K24" s="34"/>
      <c r="L24" s="34"/>
      <c r="M24" s="34"/>
      <c r="N24" s="34"/>
      <c r="O24" s="34"/>
      <c r="P24" s="35"/>
      <c r="Q24" s="37" t="s">
        <v>350</v>
      </c>
      <c r="R24" s="37" t="s">
        <v>351</v>
      </c>
      <c r="S24" s="46" t="n">
        <v>36</v>
      </c>
      <c r="T24" s="38" t="n">
        <v>46300</v>
      </c>
      <c r="U24" s="46"/>
      <c r="V24" s="39"/>
      <c r="W24" s="40" t="n">
        <f aca="false">SUM(E24,S24)</f>
        <v>38</v>
      </c>
      <c r="X24" s="41" t="n">
        <f aca="false">SUM(F24,T24)</f>
        <v>47840</v>
      </c>
      <c r="Y24" s="42"/>
      <c r="Z24" s="43" t="n">
        <v>138</v>
      </c>
      <c r="AA24" s="43" t="s">
        <v>352</v>
      </c>
    </row>
    <row r="25" customFormat="false" ht="22.35" hidden="false" customHeight="false" outlineLevel="0" collapsed="false">
      <c r="A25" s="27" t="s">
        <v>353</v>
      </c>
      <c r="B25" s="27" t="s"/>
      <c r="C25" s="28" t="s">
        <v>354</v>
      </c>
      <c r="D25" s="29" t="s">
        <v>355</v>
      </c>
      <c r="E25" s="30" t="n">
        <v>2</v>
      </c>
      <c r="F25" s="31" t="n">
        <v>2000</v>
      </c>
      <c r="G25" s="44"/>
      <c r="H25" s="77"/>
      <c r="I25" s="33"/>
      <c r="J25" s="34"/>
      <c r="K25" s="34"/>
      <c r="L25" s="34"/>
      <c r="M25" s="34"/>
      <c r="N25" s="34"/>
      <c r="O25" s="34"/>
      <c r="P25" s="35"/>
      <c r="Q25" s="37" t="s">
        <v>356</v>
      </c>
      <c r="R25" s="37" t="s">
        <v>357</v>
      </c>
      <c r="S25" s="46" t="n">
        <v>29</v>
      </c>
      <c r="T25" s="38" t="n">
        <v>41668.38</v>
      </c>
      <c r="U25" s="46"/>
      <c r="V25" s="39"/>
      <c r="W25" s="40" t="n">
        <f aca="false">SUM(E25,S25)</f>
        <v>31</v>
      </c>
      <c r="X25" s="41" t="n">
        <f aca="false">SUM(F25,T25)</f>
        <v>43668.38</v>
      </c>
      <c r="Y25" s="42"/>
      <c r="Z25" s="43" t="n">
        <v>146</v>
      </c>
      <c r="AA25" s="43" t="s">
        <v>358</v>
      </c>
    </row>
    <row r="26" customFormat="false" ht="19.7" hidden="false" customHeight="false" outlineLevel="0" collapsed="false">
      <c r="A26" s="85" t="s">
        <v>96</v>
      </c>
      <c r="B26" s="85" t="s"/>
      <c r="C26" s="85"/>
      <c r="D26" s="85"/>
      <c r="E26" s="86" t="n">
        <f aca="false">SUM(E6:E25)</f>
        <v>28</v>
      </c>
      <c r="F26" s="87" t="n">
        <f aca="false">SUM(F6:F25)</f>
        <v>25380</v>
      </c>
      <c r="G26" s="88"/>
      <c r="H26" s="89"/>
      <c r="I26" s="90" t="s">
        <v>96</v>
      </c>
      <c r="J26" s="90"/>
      <c r="K26" s="90"/>
      <c r="L26" s="90"/>
      <c r="M26" s="88"/>
      <c r="N26" s="88"/>
      <c r="O26" s="88"/>
      <c r="P26" s="89"/>
      <c r="Q26" s="90" t="s">
        <v>96</v>
      </c>
      <c r="R26" s="90"/>
      <c r="S26" s="91" t="n">
        <f aca="false">SUM(S6:S25)</f>
        <v>1000</v>
      </c>
      <c r="T26" s="87" t="n">
        <f aca="false">SUM(T6:T25)</f>
        <v>1376658.05</v>
      </c>
      <c r="U26" s="88" t="n">
        <f aca="false">SUM(U6:U25)</f>
        <v>0</v>
      </c>
      <c r="V26" s="89" t="n">
        <f aca="false">SUM(V6:V25)</f>
        <v>0</v>
      </c>
      <c r="W26" s="74" t="n">
        <f aca="false">SUM(W6:W25)</f>
        <v>1028</v>
      </c>
      <c r="X26" s="92" t="n">
        <f aca="false">SUM(X6:X25)</f>
        <v>1402038.05</v>
      </c>
      <c r="Y26" s="93"/>
      <c r="Z26" s="88"/>
      <c r="AA26" s="89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30">
    <mergeCell ref="A1:AA1"/>
    <mergeCell ref="A3:A5"/>
    <mergeCell ref="C3:H3"/>
    <mergeCell ref="I3:P3"/>
    <mergeCell ref="Q3:V3"/>
    <mergeCell ref="W3:X3"/>
    <mergeCell ref="Y3:Y5"/>
    <mergeCell ref="Z3:Z5"/>
    <mergeCell ref="AA3:AA5"/>
    <mergeCell ref="C4:C5"/>
    <mergeCell ref="D4:D5"/>
    <mergeCell ref="E4:E5"/>
    <mergeCell ref="F4:F5"/>
    <mergeCell ref="G4:H4"/>
    <mergeCell ref="I4:J5"/>
    <mergeCell ref="K4:K5"/>
    <mergeCell ref="L4:L5"/>
    <mergeCell ref="M4:M5"/>
    <mergeCell ref="N4:N5"/>
    <mergeCell ref="O4:P4"/>
    <mergeCell ref="Q4:Q5"/>
    <mergeCell ref="R4:R5"/>
    <mergeCell ref="S4:S5"/>
    <mergeCell ref="T4:T5"/>
    <mergeCell ref="U4:V4"/>
    <mergeCell ref="W4:W5"/>
    <mergeCell ref="X4:X5"/>
    <mergeCell ref="A26:D26"/>
    <mergeCell ref="I26:L26"/>
    <mergeCell ref="Q26:R26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>
  <sheetPr filterMode="false">
    <outlinePr summaryBelow="0"/>
    <pageSetUpPr fitToPage="tru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63"/>
    <col collapsed="false" customWidth="true" hidden="false" outlineLevel="0" style="0" width="18.63" min="2" max="2"/>
    <col collapsed="false" customWidth="true" hidden="false" outlineLevel="0" max="7" min="7" style="0" width="14.63"/>
    <col collapsed="false" customWidth="true" hidden="false" outlineLevel="0" max="8" min="8" style="0" width="17.5"/>
    <col collapsed="false" customWidth="false" hidden="true" outlineLevel="0" max="16" min="9" style="0" width="12.63"/>
    <col collapsed="false" customWidth="true" hidden="false" outlineLevel="0" max="23" min="23" style="0" width="14.88"/>
    <col collapsed="false" customWidth="true" hidden="false" outlineLevel="0" max="24" min="24" style="0" width="12.5"/>
  </cols>
  <sheetData>
    <row r="1" customFormat="false" ht="26.1" hidden="false" customHeight="false" outlineLevel="0" collapsed="false">
      <c r="A1" s="1" t="s">
        <v>359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2.35" hidden="false" customHeight="true" outlineLevel="0" collapsed="false">
      <c r="A3" s="3" t="s">
        <v>1</v>
      </c>
      <c r="B3" s="3" t="inlineStr">
        <is>
          <t>ข้อมูลกฎหมาย</t>
        </is>
      </c>
      <c r="C3" s="4" t="s">
        <v>2</v>
      </c>
      <c r="D3" s="4"/>
      <c r="E3" s="4"/>
      <c r="F3" s="4"/>
      <c r="G3" s="4"/>
      <c r="H3" s="4"/>
      <c r="I3" s="5" t="s">
        <v>3</v>
      </c>
      <c r="J3" s="5"/>
      <c r="K3" s="5"/>
      <c r="L3" s="5"/>
      <c r="M3" s="5"/>
      <c r="N3" s="5"/>
      <c r="O3" s="5"/>
      <c r="P3" s="5"/>
      <c r="Q3" s="6" t="s">
        <v>4</v>
      </c>
      <c r="R3" s="6"/>
      <c r="S3" s="6"/>
      <c r="T3" s="6"/>
      <c r="U3" s="6"/>
      <c r="V3" s="6"/>
      <c r="W3" s="7" t="s">
        <v>5</v>
      </c>
      <c r="X3" s="7"/>
      <c r="Y3" s="8" t="s">
        <v>6</v>
      </c>
      <c r="Z3" s="9" t="s">
        <v>7</v>
      </c>
      <c r="AA3" s="10" t="s">
        <v>8</v>
      </c>
    </row>
    <row r="4" customFormat="false" ht="22.35" hidden="false" customHeight="false" outlineLevel="0" collapsed="false">
      <c r="A4" s="3"/>
      <c r="B4" s="3" t="inlineStr">
        <is>
          <t>กฎหมาย</t>
        </is>
      </c>
      <c r="C4" s="11" t="s">
        <v>9</v>
      </c>
      <c r="D4" s="12" t="s">
        <v>10</v>
      </c>
      <c r="E4" s="12" t="s">
        <v>11</v>
      </c>
      <c r="F4" s="13" t="s">
        <v>12</v>
      </c>
      <c r="G4" s="14" t="s">
        <v>13</v>
      </c>
      <c r="H4" s="14"/>
      <c r="I4" s="15" t="s">
        <v>14</v>
      </c>
      <c r="J4" s="15"/>
      <c r="K4" s="16" t="s">
        <v>9</v>
      </c>
      <c r="L4" s="16" t="s">
        <v>10</v>
      </c>
      <c r="M4" s="17" t="s">
        <v>11</v>
      </c>
      <c r="N4" s="18" t="s">
        <v>12</v>
      </c>
      <c r="O4" s="19" t="s">
        <v>13</v>
      </c>
      <c r="P4" s="19"/>
      <c r="Q4" s="20" t="s">
        <v>9</v>
      </c>
      <c r="R4" s="21" t="s">
        <v>10</v>
      </c>
      <c r="S4" s="22" t="s">
        <v>11</v>
      </c>
      <c r="T4" s="21" t="s">
        <v>12</v>
      </c>
      <c r="U4" s="23" t="s">
        <v>15</v>
      </c>
      <c r="V4" s="23"/>
      <c r="W4" s="24" t="s">
        <v>16</v>
      </c>
      <c r="X4" s="25" t="s">
        <v>17</v>
      </c>
      <c r="Y4" s="8"/>
      <c r="Z4" s="9"/>
      <c r="AA4" s="9"/>
    </row>
    <row r="5" customFormat="false" ht="19.7" hidden="false" customHeight="false" outlineLevel="0" collapsed="false">
      <c r="A5" s="3"/>
      <c r="B5" s="3"/>
      <c r="C5" s="11"/>
      <c r="D5" s="12"/>
      <c r="E5" s="12"/>
      <c r="F5" s="12"/>
      <c r="G5" s="26" t="s">
        <v>11</v>
      </c>
      <c r="H5" s="14" t="s">
        <v>18</v>
      </c>
      <c r="I5" s="15"/>
      <c r="J5" s="15"/>
      <c r="K5" s="16"/>
      <c r="L5" s="16"/>
      <c r="M5" s="16"/>
      <c r="N5" s="16"/>
      <c r="O5" s="17" t="s">
        <v>11</v>
      </c>
      <c r="P5" s="19" t="s">
        <v>18</v>
      </c>
      <c r="Q5" s="20"/>
      <c r="R5" s="21"/>
      <c r="S5" s="21"/>
      <c r="T5" s="21"/>
      <c r="U5" s="22" t="s">
        <v>11</v>
      </c>
      <c r="V5" s="23" t="s">
        <v>18</v>
      </c>
      <c r="W5" s="24"/>
      <c r="X5" s="25"/>
      <c r="Y5" s="8"/>
      <c r="Z5" s="9"/>
      <c r="AA5" s="9"/>
    </row>
    <row r="6" customFormat="false" ht="22.35" hidden="false" customHeight="false" outlineLevel="0" collapsed="false">
      <c r="A6" s="27" t="s">
        <v>360</v>
      </c>
      <c r="B6" s="27" t="s"/>
      <c r="C6" s="28" t="s">
        <v>361</v>
      </c>
      <c r="D6" s="29" t="s">
        <v>362</v>
      </c>
      <c r="E6" s="30" t="n">
        <v>2</v>
      </c>
      <c r="F6" s="31" t="n">
        <v>1500</v>
      </c>
      <c r="G6" s="44"/>
      <c r="H6" s="77"/>
      <c r="I6" s="33"/>
      <c r="J6" s="34"/>
      <c r="K6" s="34"/>
      <c r="L6" s="34"/>
      <c r="M6" s="34"/>
      <c r="N6" s="34"/>
      <c r="O6" s="34"/>
      <c r="P6" s="35"/>
      <c r="Q6" s="37" t="s">
        <v>363</v>
      </c>
      <c r="R6" s="37" t="s">
        <v>364</v>
      </c>
      <c r="S6" s="46" t="n">
        <v>56</v>
      </c>
      <c r="T6" s="38" t="n">
        <v>70129.03</v>
      </c>
      <c r="U6" s="46"/>
      <c r="V6" s="39"/>
      <c r="W6" s="40" t="n">
        <f aca="false">SUM(E6,S6)</f>
        <v>58</v>
      </c>
      <c r="X6" s="41" t="n">
        <f aca="false">SUM(F6,T6)</f>
        <v>71629.03</v>
      </c>
      <c r="Y6" s="42"/>
      <c r="Z6" s="43" t="n">
        <v>157</v>
      </c>
      <c r="AA6" s="43" t="s">
        <v>365</v>
      </c>
    </row>
    <row r="7" customFormat="false" ht="22.35" hidden="false" customHeight="false" outlineLevel="0" collapsed="false">
      <c r="A7" s="27" t="s">
        <v>365</v>
      </c>
      <c r="B7" s="27" t="s"/>
      <c r="C7" s="45" t="s">
        <v>28</v>
      </c>
      <c r="D7" s="45" t="s">
        <v>28</v>
      </c>
      <c r="E7" s="30" t="s">
        <v>28</v>
      </c>
      <c r="F7" s="31" t="s">
        <v>28</v>
      </c>
      <c r="G7" s="45"/>
      <c r="H7" s="78"/>
      <c r="I7" s="33"/>
      <c r="J7" s="34"/>
      <c r="K7" s="34"/>
      <c r="L7" s="34"/>
      <c r="M7" s="34"/>
      <c r="N7" s="34"/>
      <c r="O7" s="34"/>
      <c r="P7" s="82"/>
      <c r="Q7" s="36" t="s">
        <v>366</v>
      </c>
      <c r="R7" s="37" t="s">
        <v>367</v>
      </c>
      <c r="S7" s="46" t="n">
        <v>47</v>
      </c>
      <c r="T7" s="38" t="n">
        <v>58532.14</v>
      </c>
      <c r="U7" s="46"/>
      <c r="V7" s="39"/>
      <c r="W7" s="40" t="n">
        <f aca="false">SUM(E7,S7)</f>
        <v>47</v>
      </c>
      <c r="X7" s="41" t="n">
        <f aca="false">SUM(F7,T7)</f>
        <v>58532.14</v>
      </c>
      <c r="Y7" s="42"/>
      <c r="Z7" s="43" t="n">
        <v>165</v>
      </c>
      <c r="AA7" s="43" t="s">
        <v>368</v>
      </c>
    </row>
    <row r="8" customFormat="false" ht="22.35" hidden="false" customHeight="false" outlineLevel="0" collapsed="false">
      <c r="A8" s="27" t="s">
        <v>368</v>
      </c>
      <c r="B8" s="27" t="s"/>
      <c r="C8" s="28" t="s">
        <v>369</v>
      </c>
      <c r="D8" s="29" t="s">
        <v>370</v>
      </c>
      <c r="E8" s="30" t="n">
        <v>6</v>
      </c>
      <c r="F8" s="31" t="n">
        <v>1200</v>
      </c>
      <c r="G8" s="44"/>
      <c r="H8" s="77"/>
      <c r="I8" s="33"/>
      <c r="J8" s="34"/>
      <c r="K8" s="34"/>
      <c r="L8" s="34"/>
      <c r="M8" s="34"/>
      <c r="N8" s="34"/>
      <c r="O8" s="34"/>
      <c r="P8" s="35"/>
      <c r="Q8" s="37" t="s">
        <v>371</v>
      </c>
      <c r="R8" s="37" t="s">
        <v>372</v>
      </c>
      <c r="S8" s="46" t="n">
        <v>54</v>
      </c>
      <c r="T8" s="38" t="n">
        <v>66626.42</v>
      </c>
      <c r="U8" s="46"/>
      <c r="V8" s="39"/>
      <c r="W8" s="40" t="n">
        <f aca="false">SUM(E8,S8)</f>
        <v>60</v>
      </c>
      <c r="X8" s="41" t="n">
        <f aca="false">SUM(F8,T8)</f>
        <v>67826.42</v>
      </c>
      <c r="Y8" s="42"/>
      <c r="Z8" s="43" t="n">
        <v>170</v>
      </c>
      <c r="AA8" s="43" t="s">
        <v>373</v>
      </c>
    </row>
    <row r="9" customFormat="false" ht="22.35" hidden="false" customHeight="false" outlineLevel="0" collapsed="false">
      <c r="A9" s="27" t="s">
        <v>373</v>
      </c>
      <c r="B9" s="27" t="s"/>
      <c r="C9" s="28" t="s">
        <v>374</v>
      </c>
      <c r="D9" s="44" t="s">
        <v>28</v>
      </c>
      <c r="E9" s="30" t="n">
        <v>1</v>
      </c>
      <c r="F9" s="31" t="n">
        <v>1000</v>
      </c>
      <c r="G9" s="44"/>
      <c r="H9" s="77"/>
      <c r="I9" s="33"/>
      <c r="J9" s="34"/>
      <c r="K9" s="34"/>
      <c r="L9" s="34"/>
      <c r="M9" s="34"/>
      <c r="N9" s="34"/>
      <c r="O9" s="34"/>
      <c r="P9" s="35"/>
      <c r="Q9" s="94" t="s">
        <v>375</v>
      </c>
      <c r="R9" s="37" t="s">
        <v>376</v>
      </c>
      <c r="S9" s="46" t="n">
        <v>45</v>
      </c>
      <c r="T9" s="38" t="n">
        <v>58734.29</v>
      </c>
      <c r="U9" s="46"/>
      <c r="V9" s="39"/>
      <c r="W9" s="40" t="n">
        <f aca="false">SUM(E9,S9)</f>
        <v>46</v>
      </c>
      <c r="X9" s="41" t="n">
        <f aca="false">SUM(F9,T9)</f>
        <v>59734.29</v>
      </c>
      <c r="Y9" s="42"/>
      <c r="Z9" s="43" t="n">
        <v>177</v>
      </c>
      <c r="AA9" s="43" t="s">
        <v>377</v>
      </c>
    </row>
    <row r="10" customFormat="false" ht="22.35" hidden="false" customHeight="false" outlineLevel="0" collapsed="false">
      <c r="A10" s="27" t="s">
        <v>377</v>
      </c>
      <c r="B10" s="27" t="s"/>
      <c r="C10" s="45" t="s">
        <v>28</v>
      </c>
      <c r="D10" s="44" t="s">
        <v>28</v>
      </c>
      <c r="E10" s="30" t="s">
        <v>28</v>
      </c>
      <c r="F10" s="31" t="s">
        <v>28</v>
      </c>
      <c r="G10" s="44"/>
      <c r="H10" s="77"/>
      <c r="I10" s="33"/>
      <c r="J10" s="34"/>
      <c r="K10" s="34"/>
      <c r="L10" s="34"/>
      <c r="M10" s="34"/>
      <c r="N10" s="34"/>
      <c r="O10" s="34"/>
      <c r="P10" s="35"/>
      <c r="Q10" s="37" t="s">
        <v>378</v>
      </c>
      <c r="R10" s="37" t="s">
        <v>379</v>
      </c>
      <c r="S10" s="46" t="n">
        <v>45</v>
      </c>
      <c r="T10" s="38" t="n">
        <v>47835.36</v>
      </c>
      <c r="U10" s="46"/>
      <c r="V10" s="39"/>
      <c r="W10" s="40" t="n">
        <f aca="false">SUM(E10,S10)</f>
        <v>45</v>
      </c>
      <c r="X10" s="41" t="n">
        <f aca="false">SUM(F10,T10)</f>
        <v>47835.36</v>
      </c>
      <c r="Y10" s="42"/>
      <c r="Z10" s="43" t="n">
        <v>186</v>
      </c>
      <c r="AA10" s="43" t="s">
        <v>380</v>
      </c>
    </row>
    <row r="11" customFormat="false" ht="22.35" hidden="false" customHeight="false" outlineLevel="0" collapsed="false">
      <c r="A11" s="27" t="s">
        <v>381</v>
      </c>
      <c r="B11" s="27" t="s"/>
      <c r="C11" s="28" t="s">
        <v>382</v>
      </c>
      <c r="D11" s="45" t="s">
        <v>28</v>
      </c>
      <c r="E11" s="30" t="n">
        <v>1</v>
      </c>
      <c r="F11" s="31" t="n">
        <v>200</v>
      </c>
      <c r="G11" s="44"/>
      <c r="H11" s="77"/>
      <c r="I11" s="33"/>
      <c r="J11" s="34"/>
      <c r="K11" s="34"/>
      <c r="L11" s="34"/>
      <c r="M11" s="34"/>
      <c r="N11" s="34"/>
      <c r="O11" s="34"/>
      <c r="P11" s="35"/>
      <c r="Q11" s="37" t="s">
        <v>383</v>
      </c>
      <c r="R11" s="37" t="s">
        <v>384</v>
      </c>
      <c r="S11" s="46" t="n">
        <v>51</v>
      </c>
      <c r="T11" s="38" t="n">
        <v>53400</v>
      </c>
      <c r="U11" s="46"/>
      <c r="V11" s="39"/>
      <c r="W11" s="40" t="n">
        <f aca="false">SUM(E11,S11)</f>
        <v>52</v>
      </c>
      <c r="X11" s="41" t="n">
        <f aca="false">SUM(F11,T11)</f>
        <v>53600</v>
      </c>
      <c r="Y11" s="42"/>
      <c r="Z11" s="43" t="n">
        <v>195</v>
      </c>
      <c r="AA11" s="43" t="s">
        <v>385</v>
      </c>
    </row>
    <row r="12" customFormat="false" ht="22.35" hidden="false" customHeight="false" outlineLevel="0" collapsed="false">
      <c r="A12" s="27" t="s">
        <v>385</v>
      </c>
      <c r="B12" s="27" t="s"/>
      <c r="C12" s="45" t="s">
        <v>28</v>
      </c>
      <c r="D12" s="44" t="s">
        <v>28</v>
      </c>
      <c r="E12" s="30" t="s">
        <v>28</v>
      </c>
      <c r="F12" s="31" t="s">
        <v>28</v>
      </c>
      <c r="G12" s="44"/>
      <c r="H12" s="77"/>
      <c r="I12" s="33"/>
      <c r="J12" s="34"/>
      <c r="K12" s="34"/>
      <c r="L12" s="34"/>
      <c r="M12" s="34"/>
      <c r="N12" s="34"/>
      <c r="O12" s="34"/>
      <c r="P12" s="35"/>
      <c r="Q12" s="37" t="s">
        <v>386</v>
      </c>
      <c r="R12" s="37" t="s">
        <v>387</v>
      </c>
      <c r="S12" s="46" t="n">
        <v>47</v>
      </c>
      <c r="T12" s="38" t="n">
        <v>55139.64</v>
      </c>
      <c r="U12" s="46"/>
      <c r="V12" s="39"/>
      <c r="W12" s="40" t="n">
        <f aca="false">SUM(E12,S12)</f>
        <v>47</v>
      </c>
      <c r="X12" s="41" t="n">
        <f aca="false">SUM(F12,T12)</f>
        <v>55139.64</v>
      </c>
      <c r="Y12" s="42"/>
      <c r="Z12" s="43" t="n">
        <v>206</v>
      </c>
      <c r="AA12" s="43" t="s">
        <v>388</v>
      </c>
    </row>
    <row r="13" customFormat="false" ht="22.35" hidden="false" customHeight="false" outlineLevel="0" collapsed="false">
      <c r="A13" s="27" t="s">
        <v>388</v>
      </c>
      <c r="B13" s="27" t="s"/>
      <c r="C13" s="45" t="s">
        <v>28</v>
      </c>
      <c r="D13" s="44" t="s">
        <v>28</v>
      </c>
      <c r="E13" s="30" t="s">
        <v>28</v>
      </c>
      <c r="F13" s="31" t="s">
        <v>28</v>
      </c>
      <c r="G13" s="44"/>
      <c r="H13" s="77"/>
      <c r="I13" s="33"/>
      <c r="J13" s="34"/>
      <c r="K13" s="34"/>
      <c r="L13" s="34"/>
      <c r="M13" s="34"/>
      <c r="N13" s="34"/>
      <c r="O13" s="34"/>
      <c r="P13" s="35"/>
      <c r="Q13" s="37" t="s">
        <v>389</v>
      </c>
      <c r="R13" s="37" t="s">
        <v>390</v>
      </c>
      <c r="S13" s="46" t="n">
        <v>35</v>
      </c>
      <c r="T13" s="38" t="n">
        <v>38940.71</v>
      </c>
      <c r="U13" s="46"/>
      <c r="V13" s="39"/>
      <c r="W13" s="40" t="n">
        <f aca="false">SUM(E13,S13)</f>
        <v>35</v>
      </c>
      <c r="X13" s="41" t="n">
        <f aca="false">SUM(F13,T13)</f>
        <v>38940.71</v>
      </c>
      <c r="Y13" s="42"/>
      <c r="Z13" s="43" t="n">
        <v>211</v>
      </c>
      <c r="AA13" s="43" t="s">
        <v>391</v>
      </c>
    </row>
    <row r="14" customFormat="false" ht="22.35" hidden="false" customHeight="false" outlineLevel="0" collapsed="false">
      <c r="A14" s="27" t="s">
        <v>391</v>
      </c>
      <c r="B14" s="27" t="s"/>
      <c r="C14" s="45" t="s">
        <v>28</v>
      </c>
      <c r="D14" s="45" t="s">
        <v>28</v>
      </c>
      <c r="E14" s="30" t="s">
        <v>28</v>
      </c>
      <c r="F14" s="31" t="s">
        <v>28</v>
      </c>
      <c r="G14" s="44"/>
      <c r="H14" s="77"/>
      <c r="I14" s="33"/>
      <c r="J14" s="34"/>
      <c r="K14" s="34"/>
      <c r="L14" s="48"/>
      <c r="M14" s="34"/>
      <c r="N14" s="34"/>
      <c r="O14" s="34"/>
      <c r="P14" s="35"/>
      <c r="Q14" s="37" t="s">
        <v>392</v>
      </c>
      <c r="R14" s="37" t="s">
        <v>393</v>
      </c>
      <c r="S14" s="46" t="n">
        <v>50</v>
      </c>
      <c r="T14" s="38" t="n">
        <v>59200</v>
      </c>
      <c r="U14" s="46"/>
      <c r="V14" s="39"/>
      <c r="W14" s="40" t="n">
        <f aca="false">SUM(E14,S14)</f>
        <v>50</v>
      </c>
      <c r="X14" s="41" t="n">
        <f aca="false">SUM(F14,T14)</f>
        <v>59200</v>
      </c>
      <c r="Y14" s="42"/>
      <c r="Z14" s="43" t="n">
        <v>218</v>
      </c>
      <c r="AA14" s="43" t="s">
        <v>394</v>
      </c>
    </row>
    <row r="15" customFormat="false" ht="22.35" hidden="false" customHeight="false" outlineLevel="0" collapsed="false">
      <c r="A15" s="27" t="s">
        <v>394</v>
      </c>
      <c r="B15" s="27" t="s"/>
      <c r="C15" s="45" t="s">
        <v>28</v>
      </c>
      <c r="D15" s="44" t="s">
        <v>28</v>
      </c>
      <c r="E15" s="30" t="s">
        <v>28</v>
      </c>
      <c r="F15" s="31" t="s">
        <v>28</v>
      </c>
      <c r="G15" s="44"/>
      <c r="H15" s="77"/>
      <c r="I15" s="33"/>
      <c r="J15" s="34"/>
      <c r="K15" s="34"/>
      <c r="L15" s="48"/>
      <c r="M15" s="34"/>
      <c r="N15" s="34"/>
      <c r="O15" s="34"/>
      <c r="P15" s="35"/>
      <c r="Q15" s="37" t="s">
        <v>395</v>
      </c>
      <c r="R15" s="37" t="s">
        <v>396</v>
      </c>
      <c r="S15" s="46" t="n">
        <v>35</v>
      </c>
      <c r="T15" s="38" t="n">
        <v>51900</v>
      </c>
      <c r="U15" s="46"/>
      <c r="V15" s="39"/>
      <c r="W15" s="40" t="n">
        <f aca="false">SUM(E15,S15)</f>
        <v>35</v>
      </c>
      <c r="X15" s="41" t="n">
        <f aca="false">SUM(F15,T15)</f>
        <v>51900</v>
      </c>
      <c r="Y15" s="42"/>
      <c r="Z15" s="43" t="n">
        <v>222</v>
      </c>
      <c r="AA15" s="43" t="s">
        <v>397</v>
      </c>
    </row>
    <row r="16" customFormat="false" ht="22.35" hidden="false" customHeight="false" outlineLevel="0" collapsed="false">
      <c r="A16" s="27" t="s">
        <v>398</v>
      </c>
      <c r="B16" s="27" t="s"/>
      <c r="C16" s="28" t="s">
        <v>399</v>
      </c>
      <c r="D16" s="29" t="s">
        <v>400</v>
      </c>
      <c r="E16" s="30" t="n">
        <v>2</v>
      </c>
      <c r="F16" s="31" t="n">
        <v>400</v>
      </c>
      <c r="G16" s="44"/>
      <c r="H16" s="77"/>
      <c r="I16" s="33"/>
      <c r="J16" s="34"/>
      <c r="K16" s="34"/>
      <c r="L16" s="34"/>
      <c r="M16" s="34"/>
      <c r="N16" s="34"/>
      <c r="O16" s="34"/>
      <c r="P16" s="35"/>
      <c r="Q16" s="37" t="s">
        <v>401</v>
      </c>
      <c r="R16" s="37" t="s">
        <v>402</v>
      </c>
      <c r="S16" s="46" t="n">
        <v>36</v>
      </c>
      <c r="T16" s="38" t="n">
        <v>66000</v>
      </c>
      <c r="U16" s="46"/>
      <c r="V16" s="39"/>
      <c r="W16" s="40" t="n">
        <f aca="false">SUM(E16,S16)</f>
        <v>38</v>
      </c>
      <c r="X16" s="41" t="n">
        <f aca="false">SUM(F16,T16)</f>
        <v>66400</v>
      </c>
      <c r="Y16" s="42"/>
      <c r="Z16" s="43" t="n">
        <v>231</v>
      </c>
      <c r="AA16" s="43" t="s">
        <v>403</v>
      </c>
    </row>
    <row r="17" customFormat="false" ht="22.35" hidden="false" customHeight="false" outlineLevel="0" collapsed="false">
      <c r="A17" s="27" t="s">
        <v>403</v>
      </c>
      <c r="B17" s="27" t="s"/>
      <c r="C17" s="45" t="s">
        <v>28</v>
      </c>
      <c r="D17" s="44" t="s">
        <v>28</v>
      </c>
      <c r="E17" s="30" t="s">
        <v>28</v>
      </c>
      <c r="F17" s="31" t="s">
        <v>28</v>
      </c>
      <c r="G17" s="44"/>
      <c r="H17" s="77"/>
      <c r="I17" s="33"/>
      <c r="J17" s="34"/>
      <c r="K17" s="34"/>
      <c r="L17" s="34"/>
      <c r="M17" s="34"/>
      <c r="N17" s="34"/>
      <c r="O17" s="34"/>
      <c r="P17" s="35"/>
      <c r="Q17" s="37" t="s">
        <v>404</v>
      </c>
      <c r="R17" s="37" t="s">
        <v>405</v>
      </c>
      <c r="S17" s="46" t="n">
        <v>33</v>
      </c>
      <c r="T17" s="38" t="n">
        <v>43247.14</v>
      </c>
      <c r="U17" s="46"/>
      <c r="V17" s="39"/>
      <c r="W17" s="40" t="n">
        <f aca="false">SUM(E17,S17)</f>
        <v>33</v>
      </c>
      <c r="X17" s="41" t="n">
        <f aca="false">SUM(F17,T17)</f>
        <v>43247.14</v>
      </c>
      <c r="Y17" s="42"/>
      <c r="Z17" s="43" t="n">
        <v>240</v>
      </c>
      <c r="AA17" s="43" t="s">
        <v>406</v>
      </c>
    </row>
    <row r="18" customFormat="false" ht="22.35" hidden="false" customHeight="false" outlineLevel="0" collapsed="false">
      <c r="A18" s="27" t="s">
        <v>406</v>
      </c>
      <c r="B18" s="27" t="s"/>
      <c r="C18" s="45" t="s">
        <v>28</v>
      </c>
      <c r="D18" s="44" t="s">
        <v>28</v>
      </c>
      <c r="E18" s="30" t="s">
        <v>28</v>
      </c>
      <c r="F18" s="31" t="s">
        <v>28</v>
      </c>
      <c r="G18" s="44"/>
      <c r="H18" s="77"/>
      <c r="I18" s="33"/>
      <c r="J18" s="34"/>
      <c r="K18" s="34"/>
      <c r="L18" s="34"/>
      <c r="M18" s="34"/>
      <c r="N18" s="34"/>
      <c r="O18" s="34"/>
      <c r="P18" s="35"/>
      <c r="Q18" s="36" t="s">
        <v>407</v>
      </c>
      <c r="R18" s="37" t="s">
        <v>408</v>
      </c>
      <c r="S18" s="46" t="n">
        <v>24</v>
      </c>
      <c r="T18" s="38" t="n">
        <v>29400</v>
      </c>
      <c r="U18" s="46"/>
      <c r="V18" s="39"/>
      <c r="W18" s="40" t="n">
        <f aca="false">SUM(E18,S18)</f>
        <v>24</v>
      </c>
      <c r="X18" s="41" t="n">
        <f aca="false">SUM(F18,T18)</f>
        <v>29400</v>
      </c>
      <c r="Y18" s="42"/>
      <c r="Z18" s="43" t="n">
        <v>245</v>
      </c>
      <c r="AA18" s="43" t="s">
        <v>409</v>
      </c>
    </row>
    <row r="19" customFormat="false" ht="22.35" hidden="false" customHeight="false" outlineLevel="0" collapsed="false">
      <c r="A19" s="27" t="s">
        <v>409</v>
      </c>
      <c r="B19" s="27" t="s"/>
      <c r="C19" s="45" t="s">
        <v>28</v>
      </c>
      <c r="D19" s="44" t="s">
        <v>28</v>
      </c>
      <c r="E19" s="30" t="s">
        <v>28</v>
      </c>
      <c r="F19" s="31" t="s">
        <v>28</v>
      </c>
      <c r="G19" s="44"/>
      <c r="H19" s="77"/>
      <c r="I19" s="33"/>
      <c r="J19" s="34"/>
      <c r="K19" s="34"/>
      <c r="L19" s="34"/>
      <c r="M19" s="34"/>
      <c r="N19" s="34"/>
      <c r="O19" s="34"/>
      <c r="P19" s="35"/>
      <c r="Q19" s="36" t="s">
        <v>410</v>
      </c>
      <c r="R19" s="37" t="s">
        <v>411</v>
      </c>
      <c r="S19" s="46" t="n">
        <v>35</v>
      </c>
      <c r="T19" s="38" t="n">
        <v>51000</v>
      </c>
      <c r="U19" s="46"/>
      <c r="V19" s="39"/>
      <c r="W19" s="40" t="n">
        <f aca="false">SUM(E19,S19)</f>
        <v>35</v>
      </c>
      <c r="X19" s="41" t="n">
        <f aca="false">SUM(F19,T19)</f>
        <v>51000</v>
      </c>
      <c r="Y19" s="42"/>
      <c r="Z19" s="43" t="n">
        <v>254</v>
      </c>
      <c r="AA19" s="43" t="s">
        <v>412</v>
      </c>
    </row>
    <row r="20" customFormat="false" ht="22.35" hidden="false" customHeight="false" outlineLevel="0" collapsed="false">
      <c r="A20" s="27" t="s">
        <v>412</v>
      </c>
      <c r="B20" s="27" t="s"/>
      <c r="C20" s="28" t="s">
        <v>413</v>
      </c>
      <c r="D20" s="44" t="s">
        <v>28</v>
      </c>
      <c r="E20" s="30" t="n">
        <v>1</v>
      </c>
      <c r="F20" s="31" t="n">
        <v>450</v>
      </c>
      <c r="G20" s="44"/>
      <c r="H20" s="77"/>
      <c r="I20" s="33"/>
      <c r="J20" s="34"/>
      <c r="K20" s="34"/>
      <c r="L20" s="34"/>
      <c r="M20" s="34"/>
      <c r="N20" s="34"/>
      <c r="O20" s="34"/>
      <c r="P20" s="35"/>
      <c r="Q20" s="97" t="s">
        <v>414</v>
      </c>
      <c r="R20" s="97" t="s">
        <v>415</v>
      </c>
      <c r="S20" s="46" t="n">
        <v>19</v>
      </c>
      <c r="T20" s="38" t="n">
        <v>48850.36</v>
      </c>
      <c r="U20" s="46"/>
      <c r="V20" s="39"/>
      <c r="W20" s="40" t="n">
        <f aca="false">SUM(E20,S20)</f>
        <v>20</v>
      </c>
      <c r="X20" s="41" t="n">
        <f aca="false">SUM(F20,T20)</f>
        <v>49300.36</v>
      </c>
      <c r="Y20" s="42"/>
      <c r="Z20" s="43" t="n">
        <v>264</v>
      </c>
      <c r="AA20" s="43" t="s">
        <v>416</v>
      </c>
    </row>
    <row r="21" customFormat="false" ht="22.35" hidden="false" customHeight="false" outlineLevel="0" collapsed="false">
      <c r="A21" s="27" t="s">
        <v>417</v>
      </c>
      <c r="B21" s="27" t="s"/>
      <c r="C21" s="45" t="s">
        <v>28</v>
      </c>
      <c r="D21" s="44" t="s">
        <v>28</v>
      </c>
      <c r="E21" s="30" t="s">
        <v>28</v>
      </c>
      <c r="F21" s="31" t="s">
        <v>28</v>
      </c>
      <c r="G21" s="44"/>
      <c r="H21" s="77"/>
      <c r="I21" s="33"/>
      <c r="J21" s="34"/>
      <c r="K21" s="34"/>
      <c r="L21" s="34"/>
      <c r="M21" s="34"/>
      <c r="N21" s="34"/>
      <c r="O21" s="34"/>
      <c r="P21" s="35"/>
      <c r="Q21" s="97" t="s">
        <v>418</v>
      </c>
      <c r="R21" s="37" t="s">
        <v>419</v>
      </c>
      <c r="S21" s="46" t="n">
        <v>37</v>
      </c>
      <c r="T21" s="38" t="n">
        <v>38351.43</v>
      </c>
      <c r="U21" s="46"/>
      <c r="V21" s="39"/>
      <c r="W21" s="40" t="n">
        <f aca="false">SUM(E21,S21)</f>
        <v>37</v>
      </c>
      <c r="X21" s="41" t="n">
        <f aca="false">SUM(F21,T21)</f>
        <v>38351.43</v>
      </c>
      <c r="Y21" s="42"/>
      <c r="Z21" s="43" t="n">
        <v>269</v>
      </c>
      <c r="AA21" s="43" t="s">
        <v>420</v>
      </c>
    </row>
    <row r="22" customFormat="false" ht="22.35" hidden="false" customHeight="false" outlineLevel="0" collapsed="false">
      <c r="A22" s="27" t="s">
        <v>420</v>
      </c>
      <c r="B22" s="27" t="s"/>
      <c r="C22" s="45" t="s">
        <v>28</v>
      </c>
      <c r="D22" s="44" t="s">
        <v>28</v>
      </c>
      <c r="E22" s="30" t="s">
        <v>28</v>
      </c>
      <c r="F22" s="31" t="s">
        <v>28</v>
      </c>
      <c r="G22" s="44"/>
      <c r="H22" s="77"/>
      <c r="I22" s="33"/>
      <c r="J22" s="34"/>
      <c r="K22" s="34"/>
      <c r="L22" s="34"/>
      <c r="M22" s="34"/>
      <c r="N22" s="34"/>
      <c r="O22" s="34"/>
      <c r="P22" s="35"/>
      <c r="Q22" s="37" t="s">
        <v>421</v>
      </c>
      <c r="R22" s="37" t="s">
        <v>422</v>
      </c>
      <c r="S22" s="46" t="n">
        <v>43</v>
      </c>
      <c r="T22" s="38" t="n">
        <v>58700</v>
      </c>
      <c r="U22" s="46"/>
      <c r="V22" s="39"/>
      <c r="W22" s="40" t="n">
        <f aca="false">SUM(E22,S22)</f>
        <v>43</v>
      </c>
      <c r="X22" s="41" t="n">
        <f aca="false">SUM(F22,T22)</f>
        <v>58700</v>
      </c>
      <c r="Y22" s="42"/>
      <c r="Z22" s="43" t="n">
        <v>273</v>
      </c>
      <c r="AA22" s="43" t="s">
        <v>423</v>
      </c>
    </row>
    <row r="23" customFormat="false" ht="22.35" hidden="false" customHeight="false" outlineLevel="0" collapsed="false">
      <c r="A23" s="27" t="s">
        <v>423</v>
      </c>
      <c r="B23" s="27" t="s"/>
      <c r="C23" s="45" t="s">
        <v>28</v>
      </c>
      <c r="D23" s="44" t="s">
        <v>28</v>
      </c>
      <c r="E23" s="30" t="s">
        <v>28</v>
      </c>
      <c r="F23" s="31" t="s">
        <v>28</v>
      </c>
      <c r="G23" s="44"/>
      <c r="H23" s="77"/>
      <c r="I23" s="33"/>
      <c r="J23" s="34"/>
      <c r="K23" s="34"/>
      <c r="L23" s="34"/>
      <c r="M23" s="34"/>
      <c r="N23" s="34"/>
      <c r="O23" s="34"/>
      <c r="P23" s="35"/>
      <c r="Q23" s="37" t="s">
        <v>424</v>
      </c>
      <c r="R23" s="37" t="s">
        <v>425</v>
      </c>
      <c r="S23" s="46" t="n">
        <v>61</v>
      </c>
      <c r="T23" s="38" t="n">
        <v>103471.42</v>
      </c>
      <c r="U23" s="46"/>
      <c r="V23" s="39"/>
      <c r="W23" s="40" t="n">
        <f aca="false">SUM(E23,S23)</f>
        <v>61</v>
      </c>
      <c r="X23" s="41" t="n">
        <f aca="false">SUM(F23,T23)</f>
        <v>103471.42</v>
      </c>
      <c r="Y23" s="42"/>
      <c r="Z23" s="43" t="n">
        <v>282</v>
      </c>
      <c r="AA23" s="43" t="s">
        <v>426</v>
      </c>
    </row>
    <row r="24" customFormat="false" ht="22.35" hidden="false" customHeight="false" outlineLevel="0" collapsed="false">
      <c r="A24" s="27" t="s">
        <v>426</v>
      </c>
      <c r="B24" s="27" t="s"/>
      <c r="C24" s="45" t="s">
        <v>28</v>
      </c>
      <c r="D24" s="44" t="s">
        <v>28</v>
      </c>
      <c r="E24" s="30" t="s">
        <v>28</v>
      </c>
      <c r="F24" s="31" t="s">
        <v>28</v>
      </c>
      <c r="G24" s="44"/>
      <c r="H24" s="77"/>
      <c r="I24" s="33"/>
      <c r="J24" s="34"/>
      <c r="K24" s="34"/>
      <c r="L24" s="34"/>
      <c r="M24" s="34"/>
      <c r="N24" s="34"/>
      <c r="O24" s="34"/>
      <c r="P24" s="35"/>
      <c r="Q24" s="37" t="s">
        <v>427</v>
      </c>
      <c r="R24" s="37" t="s">
        <v>428</v>
      </c>
      <c r="S24" s="46" t="n">
        <v>43</v>
      </c>
      <c r="T24" s="38" t="n">
        <v>54556.79</v>
      </c>
      <c r="U24" s="46"/>
      <c r="V24" s="39"/>
      <c r="W24" s="40" t="n">
        <f aca="false">SUM(E24,S24)</f>
        <v>43</v>
      </c>
      <c r="X24" s="41" t="n">
        <f aca="false">SUM(F24,T24)</f>
        <v>54556.79</v>
      </c>
      <c r="Y24" s="42"/>
      <c r="Z24" s="43" t="n">
        <v>290</v>
      </c>
      <c r="AA24" s="43" t="s">
        <v>429</v>
      </c>
    </row>
    <row r="25" customFormat="false" ht="22.35" hidden="false" customHeight="false" outlineLevel="0" collapsed="false">
      <c r="A25" s="27" t="s">
        <v>429</v>
      </c>
      <c r="B25" s="27" t="s"/>
      <c r="C25" s="28" t="s">
        <v>430</v>
      </c>
      <c r="D25" s="44" t="s">
        <v>28</v>
      </c>
      <c r="E25" s="30" t="n">
        <v>1</v>
      </c>
      <c r="F25" s="31" t="n">
        <v>200</v>
      </c>
      <c r="G25" s="44"/>
      <c r="H25" s="77"/>
      <c r="I25" s="33"/>
      <c r="J25" s="34"/>
      <c r="K25" s="34"/>
      <c r="L25" s="34"/>
      <c r="M25" s="34"/>
      <c r="N25" s="34"/>
      <c r="O25" s="34"/>
      <c r="P25" s="35"/>
      <c r="Q25" s="37" t="s">
        <v>431</v>
      </c>
      <c r="R25" s="37" t="s">
        <v>432</v>
      </c>
      <c r="S25" s="46" t="n">
        <v>53</v>
      </c>
      <c r="T25" s="38" t="n">
        <v>77257.86</v>
      </c>
      <c r="U25" s="46"/>
      <c r="V25" s="39"/>
      <c r="W25" s="40" t="n">
        <f aca="false">SUM(E25,S25)</f>
        <v>54</v>
      </c>
      <c r="X25" s="41" t="n">
        <f aca="false">SUM(F25,T25)</f>
        <v>77457.86</v>
      </c>
      <c r="Y25" s="42"/>
      <c r="Z25" s="43" t="n">
        <v>298</v>
      </c>
      <c r="AA25" s="43" t="s">
        <v>433</v>
      </c>
    </row>
    <row r="26" customFormat="false" ht="19.7" hidden="false" customHeight="false" outlineLevel="0" collapsed="false">
      <c r="A26" s="85" t="s">
        <v>96</v>
      </c>
      <c r="B26" s="85" t="s"/>
      <c r="C26" s="85"/>
      <c r="D26" s="85"/>
      <c r="E26" s="86" t="n">
        <f aca="false">SUM(E6:E25)</f>
        <v>14</v>
      </c>
      <c r="F26" s="87" t="n">
        <f aca="false">SUM(F6:F25)</f>
        <v>4950</v>
      </c>
      <c r="G26" s="88"/>
      <c r="H26" s="89"/>
      <c r="I26" s="90" t="s">
        <v>96</v>
      </c>
      <c r="J26" s="90"/>
      <c r="K26" s="90"/>
      <c r="L26" s="90"/>
      <c r="M26" s="88"/>
      <c r="N26" s="88"/>
      <c r="O26" s="88"/>
      <c r="P26" s="89"/>
      <c r="Q26" s="90" t="s">
        <v>96</v>
      </c>
      <c r="R26" s="90"/>
      <c r="S26" s="91" t="n">
        <f aca="false">SUM(S6:S25)</f>
        <v>849</v>
      </c>
      <c r="T26" s="87" t="n">
        <f aca="false">SUM(T6:T25)</f>
        <v>1131272.59</v>
      </c>
      <c r="U26" s="88" t="n">
        <f aca="false">SUM(U6:U25)</f>
        <v>0</v>
      </c>
      <c r="V26" s="89" t="n">
        <f aca="false">SUM(V6:V25)</f>
        <v>0</v>
      </c>
      <c r="W26" s="74" t="n">
        <f aca="false">SUM(W6:W25)</f>
        <v>863</v>
      </c>
      <c r="X26" s="92" t="n">
        <f aca="false">SUM(X6:X25)</f>
        <v>1136222.59</v>
      </c>
      <c r="Y26" s="93"/>
      <c r="Z26" s="88"/>
      <c r="AA26" s="89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30">
    <mergeCell ref="A1:AA1"/>
    <mergeCell ref="A3:A5"/>
    <mergeCell ref="C3:H3"/>
    <mergeCell ref="I3:P3"/>
    <mergeCell ref="Q3:V3"/>
    <mergeCell ref="W3:X3"/>
    <mergeCell ref="Y3:Y5"/>
    <mergeCell ref="Z3:Z5"/>
    <mergeCell ref="AA3:AA5"/>
    <mergeCell ref="C4:C5"/>
    <mergeCell ref="D4:D5"/>
    <mergeCell ref="E4:E5"/>
    <mergeCell ref="F4:F5"/>
    <mergeCell ref="G4:H4"/>
    <mergeCell ref="I4:J5"/>
    <mergeCell ref="K4:K5"/>
    <mergeCell ref="L4:L5"/>
    <mergeCell ref="M4:M5"/>
    <mergeCell ref="N4:N5"/>
    <mergeCell ref="O4:P4"/>
    <mergeCell ref="Q4:Q5"/>
    <mergeCell ref="R4:R5"/>
    <mergeCell ref="S4:S5"/>
    <mergeCell ref="T4:T5"/>
    <mergeCell ref="U4:V4"/>
    <mergeCell ref="W4:W5"/>
    <mergeCell ref="X4:X5"/>
    <mergeCell ref="A26:D26"/>
    <mergeCell ref="I26:L26"/>
    <mergeCell ref="Q26:R26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>
  <sheetPr filterMode="false">
    <outlinePr summaryBelow="0"/>
    <pageSetUpPr fitToPage="true"/>
  </sheetPr>
  <dimension ref="A1:AA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63"/>
    <col collapsed="false" customWidth="true" hidden="false" outlineLevel="0" style="0" width="18.63" min="2" max="2"/>
    <col collapsed="false" customWidth="true" hidden="false" outlineLevel="0" max="7" min="7" style="0" width="14.63"/>
    <col collapsed="false" customWidth="true" hidden="false" outlineLevel="0" max="8" min="8" style="0" width="17.5"/>
    <col collapsed="false" customWidth="false" hidden="true" outlineLevel="0" max="16" min="9" style="0" width="12.63"/>
    <col collapsed="false" customWidth="true" hidden="false" outlineLevel="0" max="23" min="23" style="0" width="14.88"/>
    <col collapsed="false" customWidth="true" hidden="false" outlineLevel="0" max="24" min="24" style="0" width="12.5"/>
  </cols>
  <sheetData>
    <row r="1" customFormat="false" ht="26.1" hidden="false" customHeight="false" outlineLevel="0" collapsed="false">
      <c r="A1" s="1" t="s">
        <v>434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2.35" hidden="false" customHeight="true" outlineLevel="0" collapsed="false">
      <c r="A3" s="3" t="s">
        <v>1</v>
      </c>
      <c r="B3" s="3" t="inlineStr">
        <is>
          <t>ข้อมูลกฎหมาย</t>
        </is>
      </c>
      <c r="C3" s="4" t="s">
        <v>2</v>
      </c>
      <c r="D3" s="4"/>
      <c r="E3" s="4"/>
      <c r="F3" s="4"/>
      <c r="G3" s="4"/>
      <c r="H3" s="4"/>
      <c r="I3" s="5" t="s">
        <v>3</v>
      </c>
      <c r="J3" s="5"/>
      <c r="K3" s="5"/>
      <c r="L3" s="5"/>
      <c r="M3" s="5"/>
      <c r="N3" s="5"/>
      <c r="O3" s="5"/>
      <c r="P3" s="5"/>
      <c r="Q3" s="6" t="s">
        <v>4</v>
      </c>
      <c r="R3" s="6"/>
      <c r="S3" s="6"/>
      <c r="T3" s="6"/>
      <c r="U3" s="6"/>
      <c r="V3" s="6"/>
      <c r="W3" s="7" t="s">
        <v>5</v>
      </c>
      <c r="X3" s="7"/>
      <c r="Y3" s="8" t="s">
        <v>6</v>
      </c>
      <c r="Z3" s="9" t="s">
        <v>7</v>
      </c>
      <c r="AA3" s="10" t="s">
        <v>8</v>
      </c>
    </row>
    <row r="4" customFormat="false" ht="22.35" hidden="false" customHeight="false" outlineLevel="0" collapsed="false">
      <c r="A4" s="3"/>
      <c r="B4" s="3" t="inlineStr">
        <is>
          <t>กฎหมาย</t>
        </is>
      </c>
      <c r="C4" s="11" t="s">
        <v>9</v>
      </c>
      <c r="D4" s="12" t="s">
        <v>10</v>
      </c>
      <c r="E4" s="12" t="s">
        <v>11</v>
      </c>
      <c r="F4" s="13" t="s">
        <v>12</v>
      </c>
      <c r="G4" s="14" t="s">
        <v>13</v>
      </c>
      <c r="H4" s="14"/>
      <c r="I4" s="15" t="s">
        <v>14</v>
      </c>
      <c r="J4" s="15"/>
      <c r="K4" s="16" t="s">
        <v>9</v>
      </c>
      <c r="L4" s="16" t="s">
        <v>10</v>
      </c>
      <c r="M4" s="17" t="s">
        <v>11</v>
      </c>
      <c r="N4" s="18" t="s">
        <v>12</v>
      </c>
      <c r="O4" s="19" t="s">
        <v>13</v>
      </c>
      <c r="P4" s="19"/>
      <c r="Q4" s="20" t="s">
        <v>9</v>
      </c>
      <c r="R4" s="21" t="s">
        <v>10</v>
      </c>
      <c r="S4" s="22" t="s">
        <v>11</v>
      </c>
      <c r="T4" s="21" t="s">
        <v>12</v>
      </c>
      <c r="U4" s="23" t="s">
        <v>15</v>
      </c>
      <c r="V4" s="23"/>
      <c r="W4" s="24" t="s">
        <v>16</v>
      </c>
      <c r="X4" s="25" t="s">
        <v>17</v>
      </c>
      <c r="Y4" s="8"/>
      <c r="Z4" s="9"/>
      <c r="AA4" s="9"/>
    </row>
    <row r="5" customFormat="false" ht="19.7" hidden="false" customHeight="false" outlineLevel="0" collapsed="false">
      <c r="A5" s="3"/>
      <c r="B5" s="3"/>
      <c r="C5" s="11"/>
      <c r="D5" s="12"/>
      <c r="E5" s="12"/>
      <c r="F5" s="12"/>
      <c r="G5" s="26" t="s">
        <v>11</v>
      </c>
      <c r="H5" s="14" t="s">
        <v>18</v>
      </c>
      <c r="I5" s="15"/>
      <c r="J5" s="15"/>
      <c r="K5" s="16"/>
      <c r="L5" s="16"/>
      <c r="M5" s="16"/>
      <c r="N5" s="16"/>
      <c r="O5" s="17" t="s">
        <v>11</v>
      </c>
      <c r="P5" s="19" t="s">
        <v>18</v>
      </c>
      <c r="Q5" s="20"/>
      <c r="R5" s="21"/>
      <c r="S5" s="21"/>
      <c r="T5" s="21"/>
      <c r="U5" s="22" t="s">
        <v>11</v>
      </c>
      <c r="V5" s="23" t="s">
        <v>18</v>
      </c>
      <c r="W5" s="24"/>
      <c r="X5" s="25"/>
      <c r="Y5" s="8"/>
      <c r="Z5" s="9"/>
      <c r="AA5" s="9"/>
    </row>
    <row r="6" customFormat="false" ht="22.35" hidden="false" customHeight="false" outlineLevel="0" collapsed="false">
      <c r="A6" s="27" t="s">
        <v>435</v>
      </c>
      <c r="B6" s="27" t="s"/>
      <c r="C6" s="45" t="s">
        <v>28</v>
      </c>
      <c r="D6" s="44" t="s">
        <v>28</v>
      </c>
      <c r="E6" s="30" t="s">
        <v>28</v>
      </c>
      <c r="F6" s="31" t="s">
        <v>28</v>
      </c>
      <c r="G6" s="44"/>
      <c r="H6" s="77"/>
      <c r="I6" s="33"/>
      <c r="J6" s="34"/>
      <c r="K6" s="34"/>
      <c r="L6" s="34"/>
      <c r="M6" s="34"/>
      <c r="N6" s="34"/>
      <c r="O6" s="34"/>
      <c r="P6" s="35"/>
      <c r="Q6" s="37" t="s">
        <v>436</v>
      </c>
      <c r="R6" s="37" t="s">
        <v>437</v>
      </c>
      <c r="S6" s="46" t="n">
        <v>117</v>
      </c>
      <c r="T6" s="38" t="n">
        <v>167958.93</v>
      </c>
      <c r="U6" s="46"/>
      <c r="V6" s="39"/>
      <c r="W6" s="40" t="n">
        <f aca="false">SUM(E6,S6)</f>
        <v>117</v>
      </c>
      <c r="X6" s="41" t="n">
        <f aca="false">SUM(F6,T6)</f>
        <v>167958.93</v>
      </c>
      <c r="Y6" s="42"/>
      <c r="Z6" s="43" t="n">
        <v>304</v>
      </c>
      <c r="AA6" s="43" t="s">
        <v>438</v>
      </c>
    </row>
    <row r="7" customFormat="false" ht="22.35" hidden="false" customHeight="false" outlineLevel="0" collapsed="false">
      <c r="A7" s="27" t="s">
        <v>439</v>
      </c>
      <c r="B7" s="27" t="s"/>
      <c r="C7" s="45" t="s">
        <v>28</v>
      </c>
      <c r="D7" s="44" t="s">
        <v>28</v>
      </c>
      <c r="E7" s="30" t="s">
        <v>28</v>
      </c>
      <c r="F7" s="31" t="s">
        <v>28</v>
      </c>
      <c r="G7" s="45"/>
      <c r="H7" s="78"/>
      <c r="I7" s="33"/>
      <c r="J7" s="34"/>
      <c r="K7" s="34"/>
      <c r="L7" s="34"/>
      <c r="M7" s="34"/>
      <c r="N7" s="34"/>
      <c r="O7" s="34"/>
      <c r="P7" s="82"/>
      <c r="Q7" s="36" t="s">
        <v>440</v>
      </c>
      <c r="R7" s="37" t="s">
        <v>441</v>
      </c>
      <c r="S7" s="46" t="n">
        <v>37</v>
      </c>
      <c r="T7" s="38" t="n">
        <v>39037.75</v>
      </c>
      <c r="U7" s="46"/>
      <c r="V7" s="39"/>
      <c r="W7" s="40" t="n">
        <f aca="false">SUM(E7,S7)</f>
        <v>37</v>
      </c>
      <c r="X7" s="41" t="n">
        <f aca="false">SUM(F7,T7)</f>
        <v>39037.75</v>
      </c>
      <c r="Y7" s="42"/>
      <c r="Z7" s="43" t="n">
        <v>312</v>
      </c>
      <c r="AA7" s="43" t="s">
        <v>442</v>
      </c>
    </row>
    <row r="8" customFormat="false" ht="22.35" hidden="false" customHeight="false" outlineLevel="0" collapsed="false">
      <c r="A8" s="27" t="s">
        <v>442</v>
      </c>
      <c r="B8" s="27" t="s"/>
      <c r="C8" s="45" t="s">
        <v>28</v>
      </c>
      <c r="D8" s="44" t="s">
        <v>28</v>
      </c>
      <c r="E8" s="30" t="s">
        <v>28</v>
      </c>
      <c r="F8" s="31" t="s">
        <v>28</v>
      </c>
      <c r="G8" s="44"/>
      <c r="H8" s="77"/>
      <c r="I8" s="33"/>
      <c r="J8" s="34"/>
      <c r="K8" s="34"/>
      <c r="L8" s="34"/>
      <c r="M8" s="34"/>
      <c r="N8" s="34"/>
      <c r="O8" s="34"/>
      <c r="P8" s="35"/>
      <c r="Q8" s="37" t="s">
        <v>443</v>
      </c>
      <c r="R8" s="37" t="s">
        <v>444</v>
      </c>
      <c r="S8" s="46" t="n">
        <v>31</v>
      </c>
      <c r="T8" s="38" t="n">
        <v>36097.78</v>
      </c>
      <c r="U8" s="46"/>
      <c r="V8" s="39"/>
      <c r="W8" s="40" t="n">
        <f aca="false">SUM(E8,S8)</f>
        <v>31</v>
      </c>
      <c r="X8" s="41" t="n">
        <f aca="false">SUM(F8,T8)</f>
        <v>36097.78</v>
      </c>
      <c r="Y8" s="42"/>
      <c r="Z8" s="43" t="n">
        <v>318</v>
      </c>
      <c r="AA8" s="43" t="s">
        <v>445</v>
      </c>
    </row>
    <row r="9" customFormat="false" ht="22.35" hidden="false" customHeight="false" outlineLevel="0" collapsed="false">
      <c r="A9" s="27" t="s">
        <v>445</v>
      </c>
      <c r="B9" s="27" t="s"/>
      <c r="C9" s="45" t="s">
        <v>28</v>
      </c>
      <c r="D9" s="44" t="s">
        <v>28</v>
      </c>
      <c r="E9" s="30" t="s">
        <v>28</v>
      </c>
      <c r="F9" s="31" t="s">
        <v>28</v>
      </c>
      <c r="G9" s="44"/>
      <c r="H9" s="77"/>
      <c r="I9" s="33"/>
      <c r="J9" s="34"/>
      <c r="K9" s="34"/>
      <c r="L9" s="34"/>
      <c r="M9" s="34"/>
      <c r="N9" s="34"/>
      <c r="O9" s="34"/>
      <c r="P9" s="35"/>
      <c r="Q9" s="94" t="s">
        <v>446</v>
      </c>
      <c r="R9" s="37" t="s">
        <v>447</v>
      </c>
      <c r="S9" s="46" t="n">
        <v>17</v>
      </c>
      <c r="T9" s="38" t="n">
        <v>25422.44</v>
      </c>
      <c r="U9" s="46"/>
      <c r="V9" s="39"/>
      <c r="W9" s="40" t="n">
        <f aca="false">SUM(E9,S9)</f>
        <v>17</v>
      </c>
      <c r="X9" s="41" t="n">
        <f aca="false">SUM(F9,T9)</f>
        <v>25422.44</v>
      </c>
      <c r="Y9" s="42"/>
      <c r="Z9" s="43" t="n">
        <v>324</v>
      </c>
      <c r="AA9" s="43" t="s">
        <v>448</v>
      </c>
    </row>
    <row r="10" customFormat="false" ht="22.35" hidden="false" customHeight="false" outlineLevel="0" collapsed="false">
      <c r="A10" s="27" t="s">
        <v>449</v>
      </c>
      <c r="B10" s="27" t="s"/>
      <c r="C10" s="45" t="s">
        <v>28</v>
      </c>
      <c r="D10" s="44" t="s">
        <v>28</v>
      </c>
      <c r="E10" s="30" t="s">
        <v>28</v>
      </c>
      <c r="F10" s="31" t="s">
        <v>28</v>
      </c>
      <c r="G10" s="44"/>
      <c r="H10" s="77"/>
      <c r="I10" s="33"/>
      <c r="J10" s="34"/>
      <c r="K10" s="34"/>
      <c r="L10" s="34"/>
      <c r="M10" s="34"/>
      <c r="N10" s="34"/>
      <c r="O10" s="34"/>
      <c r="P10" s="35"/>
      <c r="Q10" s="37" t="s">
        <v>450</v>
      </c>
      <c r="R10" s="37" t="s">
        <v>451</v>
      </c>
      <c r="S10" s="46" t="n">
        <v>34</v>
      </c>
      <c r="T10" s="38" t="n">
        <v>44260.38</v>
      </c>
      <c r="U10" s="46"/>
      <c r="V10" s="39"/>
      <c r="W10" s="40" t="n">
        <f aca="false">SUM(E10,S10)</f>
        <v>34</v>
      </c>
      <c r="X10" s="41" t="n">
        <f aca="false">SUM(F10,T10)</f>
        <v>44260.38</v>
      </c>
      <c r="Y10" s="42"/>
      <c r="Z10" s="43" t="n">
        <v>333</v>
      </c>
      <c r="AA10" s="43" t="s">
        <v>452</v>
      </c>
    </row>
    <row r="11" customFormat="false" ht="22.35" hidden="false" customHeight="false" outlineLevel="0" collapsed="false">
      <c r="A11" s="27" t="s">
        <v>452</v>
      </c>
      <c r="B11" s="27" t="s"/>
      <c r="C11" s="45" t="s">
        <v>28</v>
      </c>
      <c r="D11" s="44" t="s">
        <v>28</v>
      </c>
      <c r="E11" s="30" t="s">
        <v>28</v>
      </c>
      <c r="F11" s="31" t="s">
        <v>28</v>
      </c>
      <c r="G11" s="44"/>
      <c r="H11" s="77"/>
      <c r="I11" s="33"/>
      <c r="J11" s="34"/>
      <c r="K11" s="34"/>
      <c r="L11" s="34"/>
      <c r="M11" s="34"/>
      <c r="N11" s="34"/>
      <c r="O11" s="34"/>
      <c r="P11" s="35"/>
      <c r="Q11" s="37" t="s">
        <v>453</v>
      </c>
      <c r="R11" s="37" t="s">
        <v>454</v>
      </c>
      <c r="S11" s="46" t="n">
        <v>21</v>
      </c>
      <c r="T11" s="38" t="n">
        <v>27235.16</v>
      </c>
      <c r="U11" s="46"/>
      <c r="V11" s="39"/>
      <c r="W11" s="40" t="n">
        <f aca="false">SUM(E11,S11)</f>
        <v>21</v>
      </c>
      <c r="X11" s="41" t="n">
        <f aca="false">SUM(F11,T11)</f>
        <v>27235.16</v>
      </c>
      <c r="Y11" s="42"/>
      <c r="Z11" s="43" t="n">
        <v>338</v>
      </c>
      <c r="AA11" s="43" t="s">
        <v>455</v>
      </c>
    </row>
    <row r="12" customFormat="false" ht="22.35" hidden="false" customHeight="false" outlineLevel="0" collapsed="false">
      <c r="A12" s="27" t="s">
        <v>455</v>
      </c>
      <c r="B12" s="27" t="s"/>
      <c r="C12" s="45" t="s">
        <v>28</v>
      </c>
      <c r="D12" s="44" t="s">
        <v>28</v>
      </c>
      <c r="E12" s="30" t="s">
        <v>28</v>
      </c>
      <c r="F12" s="31" t="s">
        <v>28</v>
      </c>
      <c r="G12" s="44"/>
      <c r="H12" s="77"/>
      <c r="I12" s="33"/>
      <c r="J12" s="34"/>
      <c r="K12" s="34"/>
      <c r="L12" s="34"/>
      <c r="M12" s="34"/>
      <c r="N12" s="34"/>
      <c r="O12" s="34"/>
      <c r="P12" s="35"/>
      <c r="Q12" s="37" t="s">
        <v>456</v>
      </c>
      <c r="R12" s="37" t="s">
        <v>457</v>
      </c>
      <c r="S12" s="46" t="n">
        <v>31</v>
      </c>
      <c r="T12" s="38" t="n">
        <v>31502.01</v>
      </c>
      <c r="U12" s="46"/>
      <c r="V12" s="39"/>
      <c r="W12" s="40" t="n">
        <f aca="false">SUM(E12,S12)</f>
        <v>31</v>
      </c>
      <c r="X12" s="41" t="n">
        <f aca="false">SUM(F12,T12)</f>
        <v>31502.01</v>
      </c>
      <c r="Y12" s="42"/>
      <c r="Z12" s="43" t="n">
        <v>346</v>
      </c>
      <c r="AA12" s="43" t="s">
        <v>458</v>
      </c>
    </row>
    <row r="13" customFormat="false" ht="22.35" hidden="false" customHeight="false" outlineLevel="0" collapsed="false">
      <c r="A13" s="27" t="s">
        <v>458</v>
      </c>
      <c r="B13" s="27" t="s"/>
      <c r="C13" s="45" t="s">
        <v>28</v>
      </c>
      <c r="D13" s="44" t="s">
        <v>28</v>
      </c>
      <c r="E13" s="30" t="s">
        <v>28</v>
      </c>
      <c r="F13" s="31" t="s">
        <v>28</v>
      </c>
      <c r="G13" s="44"/>
      <c r="H13" s="77"/>
      <c r="I13" s="33"/>
      <c r="J13" s="34"/>
      <c r="K13" s="34"/>
      <c r="L13" s="34"/>
      <c r="M13" s="34"/>
      <c r="N13" s="34"/>
      <c r="O13" s="34"/>
      <c r="P13" s="35"/>
      <c r="Q13" s="37" t="s">
        <v>459</v>
      </c>
      <c r="R13" s="37" t="s">
        <v>460</v>
      </c>
      <c r="S13" s="46" t="n">
        <v>16</v>
      </c>
      <c r="T13" s="38" t="n">
        <v>20718.29</v>
      </c>
      <c r="U13" s="46"/>
      <c r="V13" s="39"/>
      <c r="W13" s="40" t="n">
        <f aca="false">SUM(E13,S13)</f>
        <v>16</v>
      </c>
      <c r="X13" s="41" t="n">
        <f aca="false">SUM(F13,T13)</f>
        <v>20718.29</v>
      </c>
      <c r="Y13" s="42"/>
      <c r="Z13" s="43" t="n">
        <v>350</v>
      </c>
      <c r="AA13" s="43" t="s">
        <v>461</v>
      </c>
    </row>
    <row r="14" customFormat="false" ht="22.35" hidden="false" customHeight="false" outlineLevel="0" collapsed="false">
      <c r="A14" s="27" t="s">
        <v>461</v>
      </c>
      <c r="B14" s="27" t="s"/>
      <c r="C14" s="28" t="s">
        <v>462</v>
      </c>
      <c r="D14" s="44" t="s">
        <v>28</v>
      </c>
      <c r="E14" s="30" t="n">
        <v>1</v>
      </c>
      <c r="F14" s="31" t="n">
        <v>200</v>
      </c>
      <c r="G14" s="44"/>
      <c r="H14" s="77"/>
      <c r="I14" s="33"/>
      <c r="J14" s="34"/>
      <c r="K14" s="34"/>
      <c r="L14" s="48"/>
      <c r="M14" s="34"/>
      <c r="N14" s="34"/>
      <c r="O14" s="34"/>
      <c r="P14" s="35"/>
      <c r="Q14" s="37" t="s">
        <v>463</v>
      </c>
      <c r="R14" s="37" t="s">
        <v>464</v>
      </c>
      <c r="S14" s="46" t="n">
        <v>20</v>
      </c>
      <c r="T14" s="38" t="n">
        <v>21806.14</v>
      </c>
      <c r="U14" s="46"/>
      <c r="V14" s="39"/>
      <c r="W14" s="40" t="n">
        <f aca="false">SUM(E14,S14)</f>
        <v>21</v>
      </c>
      <c r="X14" s="41" t="n">
        <f aca="false">SUM(F14,T14)</f>
        <v>22006.14</v>
      </c>
      <c r="Y14" s="42"/>
      <c r="Z14" s="43" t="n">
        <v>356</v>
      </c>
      <c r="AA14" s="43" t="s">
        <v>465</v>
      </c>
    </row>
    <row r="15" customFormat="false" ht="22.35" hidden="false" customHeight="false" outlineLevel="0" collapsed="false">
      <c r="A15" s="27" t="s">
        <v>466</v>
      </c>
      <c r="B15" s="27" t="s"/>
      <c r="C15" s="28" t="s">
        <v>467</v>
      </c>
      <c r="D15" s="44"/>
      <c r="E15" s="30" t="n">
        <v>1</v>
      </c>
      <c r="F15" s="31" t="n">
        <v>500</v>
      </c>
      <c r="G15" s="44"/>
      <c r="H15" s="77"/>
      <c r="I15" s="33"/>
      <c r="J15" s="34"/>
      <c r="K15" s="34"/>
      <c r="L15" s="48"/>
      <c r="M15" s="34"/>
      <c r="N15" s="34"/>
      <c r="O15" s="34"/>
      <c r="P15" s="35"/>
      <c r="Q15" s="37" t="s">
        <v>468</v>
      </c>
      <c r="R15" s="37" t="s">
        <v>469</v>
      </c>
      <c r="S15" s="46" t="n">
        <v>20</v>
      </c>
      <c r="T15" s="38" t="n">
        <v>30675.06</v>
      </c>
      <c r="U15" s="46"/>
      <c r="V15" s="39"/>
      <c r="W15" s="40" t="n">
        <f aca="false">SUM(E15,S15)</f>
        <v>21</v>
      </c>
      <c r="X15" s="41" t="n">
        <f aca="false">SUM(F15,T15)</f>
        <v>31175.06</v>
      </c>
      <c r="Y15" s="42"/>
      <c r="Z15" s="43" t="n">
        <v>366</v>
      </c>
      <c r="AA15" s="43" t="s">
        <v>470</v>
      </c>
    </row>
    <row r="16" customFormat="false" ht="22.35" hidden="false" customHeight="false" outlineLevel="0" collapsed="false">
      <c r="A16" s="27" t="s">
        <v>470</v>
      </c>
      <c r="B16" s="27" t="s"/>
      <c r="C16" s="28" t="s">
        <v>471</v>
      </c>
      <c r="D16" s="44"/>
      <c r="E16" s="30" t="n">
        <v>1</v>
      </c>
      <c r="F16" s="31" t="n">
        <v>200</v>
      </c>
      <c r="G16" s="44"/>
      <c r="H16" s="77"/>
      <c r="I16" s="33"/>
      <c r="J16" s="34"/>
      <c r="K16" s="34"/>
      <c r="L16" s="34"/>
      <c r="M16" s="34"/>
      <c r="N16" s="34"/>
      <c r="O16" s="34"/>
      <c r="P16" s="35"/>
      <c r="Q16" s="37" t="s">
        <v>472</v>
      </c>
      <c r="R16" s="37" t="s">
        <v>473</v>
      </c>
      <c r="S16" s="46" t="n">
        <v>9</v>
      </c>
      <c r="T16" s="38" t="n">
        <v>9850.16</v>
      </c>
      <c r="U16" s="46"/>
      <c r="V16" s="39"/>
      <c r="W16" s="40" t="n">
        <f aca="false">SUM(E16,S16)</f>
        <v>10</v>
      </c>
      <c r="X16" s="41" t="n">
        <f aca="false">SUM(F16,T16)</f>
        <v>10050.16</v>
      </c>
      <c r="Y16" s="42"/>
      <c r="Z16" s="43" t="n">
        <v>372</v>
      </c>
      <c r="AA16" s="43" t="s">
        <v>474</v>
      </c>
    </row>
    <row r="17" customFormat="false" ht="22.35" hidden="false" customHeight="false" outlineLevel="0" collapsed="false">
      <c r="A17" s="27" t="s">
        <v>474</v>
      </c>
      <c r="B17" s="27" t="s"/>
      <c r="C17" s="28" t="s">
        <v>475</v>
      </c>
      <c r="D17" s="28" t="s">
        <v>476</v>
      </c>
      <c r="E17" s="30" t="n">
        <v>2</v>
      </c>
      <c r="F17" s="31" t="n">
        <v>400</v>
      </c>
      <c r="G17" s="44"/>
      <c r="H17" s="77"/>
      <c r="I17" s="33"/>
      <c r="J17" s="34"/>
      <c r="K17" s="34"/>
      <c r="L17" s="34"/>
      <c r="M17" s="34"/>
      <c r="N17" s="34"/>
      <c r="O17" s="34"/>
      <c r="P17" s="35"/>
      <c r="Q17" s="37" t="s">
        <v>477</v>
      </c>
      <c r="R17" s="37" t="s">
        <v>478</v>
      </c>
      <c r="S17" s="46" t="n">
        <v>14</v>
      </c>
      <c r="T17" s="38" t="n">
        <v>16263.21</v>
      </c>
      <c r="U17" s="46"/>
      <c r="V17" s="39"/>
      <c r="W17" s="40" t="n">
        <f aca="false">SUM(E17,S17)</f>
        <v>16</v>
      </c>
      <c r="X17" s="41" t="n">
        <f aca="false">SUM(F17,T17)</f>
        <v>16663.21</v>
      </c>
      <c r="Y17" s="42"/>
      <c r="Z17" s="43" t="n">
        <v>379</v>
      </c>
      <c r="AA17" s="43" t="s">
        <v>479</v>
      </c>
    </row>
    <row r="18" customFormat="false" ht="22.35" hidden="false" customHeight="false" outlineLevel="0" collapsed="false">
      <c r="A18" s="27" t="s">
        <v>479</v>
      </c>
      <c r="B18" s="27" t="s"/>
      <c r="C18" s="45" t="s">
        <v>28</v>
      </c>
      <c r="D18" s="44" t="s">
        <v>28</v>
      </c>
      <c r="E18" s="30" t="s">
        <v>28</v>
      </c>
      <c r="F18" s="31" t="s">
        <v>28</v>
      </c>
      <c r="G18" s="44"/>
      <c r="H18" s="77"/>
      <c r="I18" s="33"/>
      <c r="J18" s="34"/>
      <c r="K18" s="34"/>
      <c r="L18" s="34"/>
      <c r="M18" s="34"/>
      <c r="N18" s="34"/>
      <c r="O18" s="34"/>
      <c r="P18" s="35"/>
      <c r="Q18" s="36" t="s">
        <v>480</v>
      </c>
      <c r="R18" s="37" t="s">
        <v>481</v>
      </c>
      <c r="S18" s="46" t="n">
        <v>10</v>
      </c>
      <c r="T18" s="38" t="n">
        <v>13938.65</v>
      </c>
      <c r="U18" s="46"/>
      <c r="V18" s="39"/>
      <c r="W18" s="40" t="n">
        <f aca="false">SUM(E18,S18)</f>
        <v>10</v>
      </c>
      <c r="X18" s="41" t="n">
        <f aca="false">SUM(F18,T18)</f>
        <v>13938.65</v>
      </c>
      <c r="Y18" s="42"/>
      <c r="Z18" s="43" t="n">
        <v>384</v>
      </c>
      <c r="AA18" s="43" t="s">
        <v>482</v>
      </c>
    </row>
    <row r="19" customFormat="false" ht="22.35" hidden="false" customHeight="false" outlineLevel="0" collapsed="false">
      <c r="A19" s="27" t="s">
        <v>482</v>
      </c>
      <c r="B19" s="27" t="s"/>
      <c r="C19" s="45" t="s">
        <v>28</v>
      </c>
      <c r="D19" s="44" t="s">
        <v>28</v>
      </c>
      <c r="E19" s="30" t="s">
        <v>28</v>
      </c>
      <c r="F19" s="31" t="s">
        <v>28</v>
      </c>
      <c r="G19" s="44"/>
      <c r="H19" s="77"/>
      <c r="I19" s="33"/>
      <c r="J19" s="34"/>
      <c r="K19" s="34"/>
      <c r="L19" s="34"/>
      <c r="M19" s="34"/>
      <c r="N19" s="34"/>
      <c r="O19" s="34"/>
      <c r="P19" s="35"/>
      <c r="Q19" s="36" t="s">
        <v>483</v>
      </c>
      <c r="R19" s="37" t="s">
        <v>484</v>
      </c>
      <c r="S19" s="46" t="n">
        <v>7</v>
      </c>
      <c r="T19" s="38" t="n">
        <v>7470.34</v>
      </c>
      <c r="U19" s="46"/>
      <c r="V19" s="39"/>
      <c r="W19" s="40" t="n">
        <f aca="false">SUM(E19,S19)</f>
        <v>7</v>
      </c>
      <c r="X19" s="41" t="n">
        <f aca="false">SUM(F19,T19)</f>
        <v>7470.34</v>
      </c>
      <c r="Y19" s="42"/>
      <c r="Z19" s="43" t="n">
        <v>392</v>
      </c>
      <c r="AA19" s="43" t="s">
        <v>485</v>
      </c>
    </row>
    <row r="20" customFormat="false" ht="22.35" hidden="false" customHeight="false" outlineLevel="0" collapsed="false">
      <c r="A20" s="27" t="s">
        <v>486</v>
      </c>
      <c r="B20" s="27" t="s"/>
      <c r="C20" s="45" t="s">
        <v>28</v>
      </c>
      <c r="D20" s="44" t="s">
        <v>28</v>
      </c>
      <c r="E20" s="30" t="s">
        <v>28</v>
      </c>
      <c r="F20" s="31" t="s">
        <v>28</v>
      </c>
      <c r="G20" s="44"/>
      <c r="H20" s="77"/>
      <c r="I20" s="33"/>
      <c r="J20" s="34"/>
      <c r="K20" s="34"/>
      <c r="L20" s="34"/>
      <c r="M20" s="34"/>
      <c r="N20" s="34"/>
      <c r="O20" s="34"/>
      <c r="P20" s="35"/>
      <c r="Q20" s="97" t="s">
        <v>487</v>
      </c>
      <c r="R20" s="97" t="s">
        <v>488</v>
      </c>
      <c r="S20" s="46" t="n">
        <v>11</v>
      </c>
      <c r="T20" s="38" t="n">
        <v>11212.85</v>
      </c>
      <c r="U20" s="46"/>
      <c r="V20" s="39"/>
      <c r="W20" s="40" t="n">
        <f aca="false">SUM(E20,S20)</f>
        <v>11</v>
      </c>
      <c r="X20" s="41" t="n">
        <f aca="false">SUM(F20,T20)</f>
        <v>11212.85</v>
      </c>
      <c r="Y20" s="42"/>
      <c r="Z20" s="43" t="n">
        <v>396</v>
      </c>
      <c r="AA20" s="43" t="s">
        <v>489</v>
      </c>
    </row>
    <row r="21" customFormat="false" ht="22.35" hidden="false" customHeight="false" outlineLevel="0" collapsed="false">
      <c r="A21" s="27" t="s">
        <v>489</v>
      </c>
      <c r="B21" s="27" t="s"/>
      <c r="C21" s="45" t="s">
        <v>28</v>
      </c>
      <c r="D21" s="44" t="s">
        <v>28</v>
      </c>
      <c r="E21" s="30" t="s">
        <v>28</v>
      </c>
      <c r="F21" s="31" t="s">
        <v>28</v>
      </c>
      <c r="G21" s="44"/>
      <c r="H21" s="77"/>
      <c r="I21" s="33"/>
      <c r="J21" s="34"/>
      <c r="K21" s="34"/>
      <c r="L21" s="34"/>
      <c r="M21" s="34"/>
      <c r="N21" s="34"/>
      <c r="O21" s="34"/>
      <c r="P21" s="35"/>
      <c r="Q21" s="97" t="s">
        <v>490</v>
      </c>
      <c r="R21" s="37" t="s">
        <v>491</v>
      </c>
      <c r="S21" s="46" t="n">
        <v>19</v>
      </c>
      <c r="T21" s="38" t="n">
        <v>21111.86</v>
      </c>
      <c r="U21" s="46"/>
      <c r="V21" s="39"/>
      <c r="W21" s="40" t="n">
        <f aca="false">SUM(E21,S21)</f>
        <v>19</v>
      </c>
      <c r="X21" s="41" t="n">
        <f aca="false">SUM(F21,T21)</f>
        <v>21111.86</v>
      </c>
      <c r="Y21" s="42"/>
      <c r="Z21" s="43" t="n">
        <v>402</v>
      </c>
      <c r="AA21" s="43" t="s">
        <v>492</v>
      </c>
    </row>
    <row r="22" customFormat="false" ht="22.35" hidden="false" customHeight="false" outlineLevel="0" collapsed="false">
      <c r="A22" s="27" t="s">
        <v>492</v>
      </c>
      <c r="B22" s="27" t="s"/>
      <c r="C22" s="45" t="s">
        <v>28</v>
      </c>
      <c r="D22" s="44" t="s">
        <v>28</v>
      </c>
      <c r="E22" s="30" t="s">
        <v>28</v>
      </c>
      <c r="F22" s="31" t="s">
        <v>28</v>
      </c>
      <c r="G22" s="44"/>
      <c r="H22" s="77"/>
      <c r="I22" s="33"/>
      <c r="J22" s="34"/>
      <c r="K22" s="34"/>
      <c r="L22" s="34"/>
      <c r="M22" s="34"/>
      <c r="N22" s="34"/>
      <c r="O22" s="34"/>
      <c r="P22" s="35"/>
      <c r="Q22" s="37" t="s">
        <v>493</v>
      </c>
      <c r="R22" s="37" t="s">
        <v>494</v>
      </c>
      <c r="S22" s="46" t="n">
        <v>7</v>
      </c>
      <c r="T22" s="38" t="n">
        <v>7162.61</v>
      </c>
      <c r="U22" s="46"/>
      <c r="V22" s="39"/>
      <c r="W22" s="40" t="n">
        <f aca="false">SUM(E22,S22)</f>
        <v>7</v>
      </c>
      <c r="X22" s="41" t="n">
        <f aca="false">SUM(F22,T22)</f>
        <v>7162.61</v>
      </c>
      <c r="Y22" s="42"/>
      <c r="Z22" s="43" t="n">
        <v>409</v>
      </c>
      <c r="AA22" s="43" t="s">
        <v>495</v>
      </c>
    </row>
    <row r="23" customFormat="false" ht="22.35" hidden="false" customHeight="false" outlineLevel="0" collapsed="false">
      <c r="A23" s="27" t="s">
        <v>495</v>
      </c>
      <c r="B23" s="27" t="s"/>
      <c r="C23" s="45" t="s">
        <v>28</v>
      </c>
      <c r="D23" s="44" t="s">
        <v>28</v>
      </c>
      <c r="E23" s="30" t="s">
        <v>28</v>
      </c>
      <c r="F23" s="31" t="s">
        <v>28</v>
      </c>
      <c r="G23" s="44"/>
      <c r="H23" s="77"/>
      <c r="I23" s="33"/>
      <c r="J23" s="34"/>
      <c r="K23" s="34"/>
      <c r="L23" s="34"/>
      <c r="M23" s="34"/>
      <c r="N23" s="34"/>
      <c r="O23" s="34"/>
      <c r="P23" s="35"/>
      <c r="Q23" s="37" t="s">
        <v>496</v>
      </c>
      <c r="R23" s="37" t="s">
        <v>497</v>
      </c>
      <c r="S23" s="46" t="n">
        <v>5</v>
      </c>
      <c r="T23" s="38" t="n">
        <v>5120.95</v>
      </c>
      <c r="U23" s="46"/>
      <c r="V23" s="39"/>
      <c r="W23" s="40" t="n">
        <f aca="false">SUM(E23,S23)</f>
        <v>5</v>
      </c>
      <c r="X23" s="41" t="n">
        <f aca="false">SUM(F23,T23)</f>
        <v>5120.95</v>
      </c>
      <c r="Y23" s="42"/>
      <c r="Z23" s="43" t="n">
        <v>414</v>
      </c>
      <c r="AA23" s="43" t="s">
        <v>498</v>
      </c>
    </row>
    <row r="24" customFormat="false" ht="22.35" hidden="false" customHeight="false" outlineLevel="0" collapsed="false">
      <c r="A24" s="27" t="s">
        <v>498</v>
      </c>
      <c r="B24" s="27" t="s"/>
      <c r="C24" s="28" t="s">
        <v>499</v>
      </c>
      <c r="D24" s="28" t="s">
        <v>500</v>
      </c>
      <c r="E24" s="30" t="n">
        <v>2</v>
      </c>
      <c r="F24" s="31" t="n">
        <v>1450</v>
      </c>
      <c r="G24" s="44"/>
      <c r="H24" s="77"/>
      <c r="I24" s="33"/>
      <c r="J24" s="34"/>
      <c r="K24" s="34"/>
      <c r="L24" s="34"/>
      <c r="M24" s="34"/>
      <c r="N24" s="34"/>
      <c r="O24" s="34"/>
      <c r="P24" s="35"/>
      <c r="Q24" s="37" t="s">
        <v>501</v>
      </c>
      <c r="R24" s="37" t="s">
        <v>502</v>
      </c>
      <c r="S24" s="46" t="n">
        <v>10</v>
      </c>
      <c r="T24" s="38" t="n">
        <v>15684.96</v>
      </c>
      <c r="U24" s="46"/>
      <c r="V24" s="39"/>
      <c r="W24" s="40" t="n">
        <f aca="false">SUM(E24,S24)</f>
        <v>12</v>
      </c>
      <c r="X24" s="41" t="n">
        <f aca="false">SUM(F24,T24)</f>
        <v>17134.96</v>
      </c>
      <c r="Y24" s="42"/>
      <c r="Z24" s="43" t="n">
        <v>420</v>
      </c>
      <c r="AA24" s="43" t="s">
        <v>503</v>
      </c>
    </row>
    <row r="25" customFormat="false" ht="22.35" hidden="false" customHeight="false" outlineLevel="0" collapsed="false">
      <c r="A25" s="27" t="s">
        <v>504</v>
      </c>
      <c r="B25" s="27" t="s"/>
      <c r="C25" s="28" t="s">
        <v>505</v>
      </c>
      <c r="D25" s="29" t="s">
        <v>506</v>
      </c>
      <c r="E25" s="30" t="n">
        <v>2</v>
      </c>
      <c r="F25" s="31" t="n">
        <v>900</v>
      </c>
      <c r="G25" s="44"/>
      <c r="H25" s="77"/>
      <c r="I25" s="33"/>
      <c r="J25" s="34"/>
      <c r="K25" s="34"/>
      <c r="L25" s="34"/>
      <c r="M25" s="34"/>
      <c r="N25" s="34"/>
      <c r="O25" s="34"/>
      <c r="P25" s="35"/>
      <c r="Q25" s="37" t="s">
        <v>507</v>
      </c>
      <c r="R25" s="37" t="s">
        <v>508</v>
      </c>
      <c r="S25" s="46" t="n">
        <v>17</v>
      </c>
      <c r="T25" s="38" t="n">
        <v>21196.02</v>
      </c>
      <c r="U25" s="46"/>
      <c r="V25" s="39"/>
      <c r="W25" s="40" t="n">
        <f aca="false">SUM(E25,S25)</f>
        <v>19</v>
      </c>
      <c r="X25" s="41" t="n">
        <f aca="false">SUM(F25,T25)</f>
        <v>22096.02</v>
      </c>
      <c r="Y25" s="42"/>
      <c r="Z25" s="43" t="n">
        <v>429</v>
      </c>
      <c r="AA25" s="43" t="s">
        <v>509</v>
      </c>
    </row>
    <row r="26" customFormat="false" ht="22.35" hidden="false" customHeight="false" outlineLevel="0" collapsed="false">
      <c r="A26" s="98" t="s">
        <v>509</v>
      </c>
      <c r="B26" s="98" t="s"/>
      <c r="C26" s="80" t="s">
        <v>510</v>
      </c>
      <c r="D26" s="29" t="s">
        <v>511</v>
      </c>
      <c r="E26" s="30" t="n">
        <v>3</v>
      </c>
      <c r="F26" s="31" t="n">
        <v>600</v>
      </c>
      <c r="G26" s="44"/>
      <c r="H26" s="81"/>
      <c r="I26" s="34"/>
      <c r="J26" s="34"/>
      <c r="K26" s="34"/>
      <c r="L26" s="34"/>
      <c r="M26" s="34"/>
      <c r="N26" s="34"/>
      <c r="O26" s="34"/>
      <c r="P26" s="82"/>
      <c r="Q26" s="36" t="s">
        <v>512</v>
      </c>
      <c r="R26" s="37" t="s">
        <v>513</v>
      </c>
      <c r="S26" s="46" t="n">
        <v>17</v>
      </c>
      <c r="T26" s="38" t="n">
        <v>17853.51</v>
      </c>
      <c r="U26" s="46"/>
      <c r="V26" s="83"/>
      <c r="W26" s="40" t="n">
        <f aca="false">SUM(E26,S26)</f>
        <v>20</v>
      </c>
      <c r="X26" s="41" t="n">
        <f aca="false">SUM(F26,T26)</f>
        <v>18453.51</v>
      </c>
      <c r="Y26" s="42"/>
      <c r="Z26" s="43" t="n">
        <v>434</v>
      </c>
      <c r="AA26" s="43" t="s">
        <v>514</v>
      </c>
    </row>
    <row r="27" customFormat="false" ht="22.35" hidden="false" customHeight="false" outlineLevel="0" collapsed="false">
      <c r="A27" s="98" t="s">
        <v>514</v>
      </c>
      <c r="B27" s="98" t="s"/>
      <c r="C27" s="99" t="s">
        <v>28</v>
      </c>
      <c r="D27" s="44" t="s">
        <v>28</v>
      </c>
      <c r="E27" s="30" t="s">
        <v>28</v>
      </c>
      <c r="F27" s="31" t="s">
        <v>28</v>
      </c>
      <c r="G27" s="44"/>
      <c r="H27" s="81"/>
      <c r="I27" s="34"/>
      <c r="J27" s="34"/>
      <c r="K27" s="34"/>
      <c r="L27" s="34"/>
      <c r="M27" s="34"/>
      <c r="N27" s="34"/>
      <c r="O27" s="34"/>
      <c r="P27" s="82"/>
      <c r="Q27" s="36" t="s">
        <v>515</v>
      </c>
      <c r="R27" s="37" t="s">
        <v>516</v>
      </c>
      <c r="S27" s="46" t="n">
        <v>10</v>
      </c>
      <c r="T27" s="38" t="n">
        <v>41086</v>
      </c>
      <c r="U27" s="46"/>
      <c r="V27" s="83"/>
      <c r="W27" s="40" t="n">
        <f aca="false">SUM(E27,S27)</f>
        <v>10</v>
      </c>
      <c r="X27" s="41" t="n">
        <f aca="false">SUM(F27,T27)</f>
        <v>41086</v>
      </c>
      <c r="Y27" s="42"/>
      <c r="Z27" s="43" t="n">
        <v>442</v>
      </c>
      <c r="AA27" s="43" t="s">
        <v>517</v>
      </c>
    </row>
    <row r="28" customFormat="false" ht="19.7" hidden="false" customHeight="false" outlineLevel="0" collapsed="false">
      <c r="A28" s="85" t="s">
        <v>96</v>
      </c>
      <c r="B28" s="85" t="s"/>
      <c r="C28" s="85"/>
      <c r="D28" s="85"/>
      <c r="E28" s="86" t="n">
        <f aca="false">SUM(E6:E27)</f>
        <v>12</v>
      </c>
      <c r="F28" s="87" t="n">
        <f aca="false">SUM(F6:F27)</f>
        <v>4250</v>
      </c>
      <c r="G28" s="88"/>
      <c r="H28" s="89"/>
      <c r="I28" s="90" t="s">
        <v>96</v>
      </c>
      <c r="J28" s="90"/>
      <c r="K28" s="90"/>
      <c r="L28" s="90"/>
      <c r="M28" s="88"/>
      <c r="N28" s="88"/>
      <c r="O28" s="88"/>
      <c r="P28" s="89"/>
      <c r="Q28" s="90" t="s">
        <v>96</v>
      </c>
      <c r="R28" s="90"/>
      <c r="S28" s="91" t="n">
        <f aca="false">SUM(S6:S27)</f>
        <v>480</v>
      </c>
      <c r="T28" s="87" t="n">
        <f aca="false">SUM(T6:T27)</f>
        <v>632665.06</v>
      </c>
      <c r="U28" s="88" t="n">
        <f aca="false">SUM(U6:U25)</f>
        <v>0</v>
      </c>
      <c r="V28" s="100" t="n">
        <f aca="false">SUM(V6:V25)</f>
        <v>0</v>
      </c>
      <c r="W28" s="101" t="n">
        <f aca="false">SUM(W6:W27)</f>
        <v>492</v>
      </c>
      <c r="X28" s="102" t="n">
        <f aca="false">SUM(X6:X27)</f>
        <v>636915.06</v>
      </c>
      <c r="Y28" s="103"/>
      <c r="Z28" s="88"/>
      <c r="AA28" s="89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104"/>
      <c r="X30" s="2"/>
      <c r="Y30" s="2"/>
      <c r="Z30" s="2"/>
      <c r="AA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30">
    <mergeCell ref="A1:AA1"/>
    <mergeCell ref="A3:A5"/>
    <mergeCell ref="C3:H3"/>
    <mergeCell ref="I3:P3"/>
    <mergeCell ref="Q3:V3"/>
    <mergeCell ref="W3:X3"/>
    <mergeCell ref="Y3:Y5"/>
    <mergeCell ref="Z3:Z5"/>
    <mergeCell ref="AA3:AA5"/>
    <mergeCell ref="C4:C5"/>
    <mergeCell ref="D4:D5"/>
    <mergeCell ref="E4:E5"/>
    <mergeCell ref="F4:F5"/>
    <mergeCell ref="G4:H4"/>
    <mergeCell ref="I4:J5"/>
    <mergeCell ref="K4:K5"/>
    <mergeCell ref="L4:L5"/>
    <mergeCell ref="M4:M5"/>
    <mergeCell ref="N4:N5"/>
    <mergeCell ref="O4:P4"/>
    <mergeCell ref="Q4:Q5"/>
    <mergeCell ref="R4:R5"/>
    <mergeCell ref="S4:S5"/>
    <mergeCell ref="T4:T5"/>
    <mergeCell ref="U4:V4"/>
    <mergeCell ref="W4:W5"/>
    <mergeCell ref="X4:X5"/>
    <mergeCell ref="A28:D28"/>
    <mergeCell ref="I28:L28"/>
    <mergeCell ref="Q28:R28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>
  <sheetPr filterMode="false">
    <outlinePr summaryBelow="0"/>
    <pageSetUpPr fitToPage="true"/>
  </sheetPr>
  <dimension ref="A1:AA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63"/>
    <col collapsed="false" customWidth="true" hidden="false" outlineLevel="0" style="0" width="18.63" min="2" max="2"/>
    <col collapsed="false" customWidth="true" hidden="false" outlineLevel="0" max="7" min="7" style="0" width="14.63"/>
    <col collapsed="false" customWidth="true" hidden="false" outlineLevel="0" max="8" min="8" style="0" width="17.5"/>
    <col collapsed="false" customWidth="false" hidden="true" outlineLevel="0" max="16" min="9" style="0" width="12.63"/>
    <col collapsed="false" customWidth="true" hidden="false" outlineLevel="0" max="23" min="23" style="0" width="14.88"/>
    <col collapsed="false" customWidth="true" hidden="false" outlineLevel="0" max="24" min="24" style="0" width="12.5"/>
  </cols>
  <sheetData>
    <row r="1" customFormat="false" ht="26.1" hidden="false" customHeight="false" outlineLevel="0" collapsed="false">
      <c r="A1" s="1" t="s">
        <v>518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2.35" hidden="false" customHeight="true" outlineLevel="0" collapsed="false">
      <c r="A3" s="3" t="s">
        <v>1</v>
      </c>
      <c r="B3" s="3" t="inlineStr">
        <is>
          <t>ข้อมูลกฎหมาย</t>
        </is>
      </c>
      <c r="C3" s="4" t="s">
        <v>2</v>
      </c>
      <c r="D3" s="4"/>
      <c r="E3" s="4"/>
      <c r="F3" s="4"/>
      <c r="G3" s="4"/>
      <c r="H3" s="4"/>
      <c r="I3" s="5" t="s">
        <v>3</v>
      </c>
      <c r="J3" s="5"/>
      <c r="K3" s="5"/>
      <c r="L3" s="5"/>
      <c r="M3" s="5"/>
      <c r="N3" s="5"/>
      <c r="O3" s="5"/>
      <c r="P3" s="5"/>
      <c r="Q3" s="6" t="s">
        <v>4</v>
      </c>
      <c r="R3" s="6"/>
      <c r="S3" s="6"/>
      <c r="T3" s="6"/>
      <c r="U3" s="6"/>
      <c r="V3" s="6"/>
      <c r="W3" s="7" t="s">
        <v>5</v>
      </c>
      <c r="X3" s="7"/>
      <c r="Y3" s="8" t="s">
        <v>6</v>
      </c>
      <c r="Z3" s="9" t="s">
        <v>7</v>
      </c>
      <c r="AA3" s="10" t="s">
        <v>8</v>
      </c>
    </row>
    <row r="4" customFormat="false" ht="22.35" hidden="false" customHeight="false" outlineLevel="0" collapsed="false">
      <c r="A4" s="3"/>
      <c r="B4" s="3" t="inlineStr">
        <is>
          <t>กฎหมาย</t>
        </is>
      </c>
      <c r="C4" s="11" t="s">
        <v>9</v>
      </c>
      <c r="D4" s="12" t="s">
        <v>10</v>
      </c>
      <c r="E4" s="12" t="s">
        <v>11</v>
      </c>
      <c r="F4" s="13" t="s">
        <v>12</v>
      </c>
      <c r="G4" s="14" t="s">
        <v>13</v>
      </c>
      <c r="H4" s="14"/>
      <c r="I4" s="15" t="s">
        <v>14</v>
      </c>
      <c r="J4" s="15"/>
      <c r="K4" s="16" t="s">
        <v>9</v>
      </c>
      <c r="L4" s="16" t="s">
        <v>10</v>
      </c>
      <c r="M4" s="17" t="s">
        <v>11</v>
      </c>
      <c r="N4" s="18" t="s">
        <v>12</v>
      </c>
      <c r="O4" s="19" t="s">
        <v>13</v>
      </c>
      <c r="P4" s="19"/>
      <c r="Q4" s="20" t="s">
        <v>9</v>
      </c>
      <c r="R4" s="21" t="s">
        <v>10</v>
      </c>
      <c r="S4" s="22" t="s">
        <v>11</v>
      </c>
      <c r="T4" s="21" t="s">
        <v>12</v>
      </c>
      <c r="U4" s="23" t="s">
        <v>15</v>
      </c>
      <c r="V4" s="23"/>
      <c r="W4" s="24" t="s">
        <v>16</v>
      </c>
      <c r="X4" s="25" t="s">
        <v>17</v>
      </c>
      <c r="Y4" s="8"/>
      <c r="Z4" s="9"/>
      <c r="AA4" s="9"/>
    </row>
    <row r="5" customFormat="false" ht="19.7" hidden="false" customHeight="false" outlineLevel="0" collapsed="false">
      <c r="A5" s="3"/>
      <c r="B5" s="3"/>
      <c r="C5" s="11"/>
      <c r="D5" s="12"/>
      <c r="E5" s="12"/>
      <c r="F5" s="12"/>
      <c r="G5" s="26" t="s">
        <v>11</v>
      </c>
      <c r="H5" s="14" t="s">
        <v>18</v>
      </c>
      <c r="I5" s="15"/>
      <c r="J5" s="15"/>
      <c r="K5" s="16"/>
      <c r="L5" s="16"/>
      <c r="M5" s="16"/>
      <c r="N5" s="16"/>
      <c r="O5" s="17" t="s">
        <v>11</v>
      </c>
      <c r="P5" s="19" t="s">
        <v>18</v>
      </c>
      <c r="Q5" s="20"/>
      <c r="R5" s="21"/>
      <c r="S5" s="21"/>
      <c r="T5" s="21"/>
      <c r="U5" s="22" t="s">
        <v>11</v>
      </c>
      <c r="V5" s="23" t="s">
        <v>18</v>
      </c>
      <c r="W5" s="24"/>
      <c r="X5" s="25"/>
      <c r="Y5" s="8"/>
      <c r="Z5" s="9"/>
      <c r="AA5" s="9"/>
    </row>
    <row r="6" customFormat="false" ht="22.35" hidden="false" customHeight="false" outlineLevel="0" collapsed="false">
      <c r="A6" s="27" t="s">
        <v>517</v>
      </c>
      <c r="B6" s="27" t="s"/>
      <c r="C6" s="28" t="s">
        <v>519</v>
      </c>
      <c r="D6" s="44" t="s">
        <v>28</v>
      </c>
      <c r="E6" s="30" t="n">
        <v>1</v>
      </c>
      <c r="F6" s="31" t="n">
        <v>200</v>
      </c>
      <c r="G6" s="44"/>
      <c r="H6" s="77"/>
      <c r="I6" s="33"/>
      <c r="J6" s="34"/>
      <c r="K6" s="34"/>
      <c r="L6" s="34"/>
      <c r="M6" s="34"/>
      <c r="N6" s="34"/>
      <c r="O6" s="34"/>
      <c r="P6" s="35"/>
      <c r="Q6" s="37" t="s">
        <v>520</v>
      </c>
      <c r="R6" s="37" t="s">
        <v>521</v>
      </c>
      <c r="S6" s="46" t="n">
        <v>14</v>
      </c>
      <c r="T6" s="38" t="n">
        <v>15640.2</v>
      </c>
      <c r="U6" s="46"/>
      <c r="V6" s="39"/>
      <c r="W6" s="40" t="n">
        <f aca="false">SUM(E6,S6)</f>
        <v>15</v>
      </c>
      <c r="X6" s="41" t="n">
        <f aca="false">SUM(F6,T6)</f>
        <v>15840.2</v>
      </c>
      <c r="Y6" s="42"/>
      <c r="Z6" s="43" t="n">
        <v>448</v>
      </c>
      <c r="AA6" s="43" t="s">
        <v>522</v>
      </c>
    </row>
    <row r="7" customFormat="false" ht="22.35" hidden="false" customHeight="false" outlineLevel="0" collapsed="false">
      <c r="A7" s="27" t="s">
        <v>522</v>
      </c>
      <c r="B7" s="27" t="s"/>
      <c r="C7" s="45" t="s">
        <v>28</v>
      </c>
      <c r="D7" s="44" t="s">
        <v>28</v>
      </c>
      <c r="E7" s="30" t="s">
        <v>28</v>
      </c>
      <c r="F7" s="31" t="s">
        <v>28</v>
      </c>
      <c r="G7" s="45"/>
      <c r="H7" s="78"/>
      <c r="I7" s="33"/>
      <c r="J7" s="34"/>
      <c r="K7" s="34"/>
      <c r="L7" s="34"/>
      <c r="M7" s="34"/>
      <c r="N7" s="34"/>
      <c r="O7" s="34"/>
      <c r="P7" s="82"/>
      <c r="Q7" s="36" t="s">
        <v>523</v>
      </c>
      <c r="R7" s="37" t="s">
        <v>524</v>
      </c>
      <c r="S7" s="46" t="n">
        <v>13</v>
      </c>
      <c r="T7" s="38" t="n">
        <v>19092</v>
      </c>
      <c r="U7" s="46"/>
      <c r="V7" s="39"/>
      <c r="W7" s="40" t="n">
        <f aca="false">SUM(E7,S7)</f>
        <v>13</v>
      </c>
      <c r="X7" s="41" t="n">
        <f aca="false">SUM(F7,T7)</f>
        <v>19092</v>
      </c>
      <c r="Y7" s="42"/>
      <c r="Z7" s="43" t="n">
        <v>454</v>
      </c>
      <c r="AA7" s="43" t="s">
        <v>525</v>
      </c>
    </row>
    <row r="8" customFormat="false" ht="22.35" hidden="false" customHeight="false" outlineLevel="0" collapsed="false">
      <c r="A8" s="27" t="s">
        <v>526</v>
      </c>
      <c r="B8" s="27" t="s"/>
      <c r="C8" s="28" t="s">
        <v>527</v>
      </c>
      <c r="D8" s="29" t="s">
        <v>528</v>
      </c>
      <c r="E8" s="30" t="n">
        <v>2</v>
      </c>
      <c r="F8" s="31" t="n">
        <v>1500</v>
      </c>
      <c r="G8" s="44"/>
      <c r="H8" s="77"/>
      <c r="I8" s="33"/>
      <c r="J8" s="34"/>
      <c r="K8" s="34"/>
      <c r="L8" s="34"/>
      <c r="M8" s="34"/>
      <c r="N8" s="34"/>
      <c r="O8" s="34"/>
      <c r="P8" s="35"/>
      <c r="Q8" s="37" t="s">
        <v>529</v>
      </c>
      <c r="R8" s="37" t="s">
        <v>530</v>
      </c>
      <c r="S8" s="46" t="n">
        <v>18</v>
      </c>
      <c r="T8" s="38" t="n">
        <v>25255.3</v>
      </c>
      <c r="U8" s="46"/>
      <c r="V8" s="39"/>
      <c r="W8" s="40" t="n">
        <f aca="false">SUM(E8,S8)</f>
        <v>20</v>
      </c>
      <c r="X8" s="41" t="n">
        <f aca="false">SUM(F8,T8)</f>
        <v>26755.3</v>
      </c>
      <c r="Y8" s="42"/>
      <c r="Z8" s="43" t="n">
        <v>461</v>
      </c>
      <c r="AA8" s="43" t="s">
        <v>531</v>
      </c>
    </row>
    <row r="9" customFormat="false" ht="22.35" hidden="false" customHeight="false" outlineLevel="0" collapsed="false">
      <c r="A9" s="27" t="s">
        <v>531</v>
      </c>
      <c r="B9" s="27" t="s"/>
      <c r="C9" s="45" t="s">
        <v>28</v>
      </c>
      <c r="D9" s="44" t="s">
        <v>28</v>
      </c>
      <c r="E9" s="30" t="s">
        <v>28</v>
      </c>
      <c r="F9" s="31" t="s">
        <v>28</v>
      </c>
      <c r="G9" s="44"/>
      <c r="H9" s="77"/>
      <c r="I9" s="33"/>
      <c r="J9" s="34"/>
      <c r="K9" s="34"/>
      <c r="L9" s="34"/>
      <c r="M9" s="34"/>
      <c r="N9" s="34"/>
      <c r="O9" s="34"/>
      <c r="P9" s="35"/>
      <c r="Q9" s="94" t="s">
        <v>532</v>
      </c>
      <c r="R9" s="37" t="s">
        <v>533</v>
      </c>
      <c r="S9" s="46" t="n">
        <v>20</v>
      </c>
      <c r="T9" s="38" t="n">
        <v>26443.5</v>
      </c>
      <c r="U9" s="46"/>
      <c r="V9" s="39"/>
      <c r="W9" s="40" t="n">
        <f aca="false">SUM(E9,S9)</f>
        <v>20</v>
      </c>
      <c r="X9" s="41" t="n">
        <f aca="false">SUM(F9,T9)</f>
        <v>26443.5</v>
      </c>
      <c r="Y9" s="42"/>
      <c r="Z9" s="43" t="n">
        <v>467</v>
      </c>
      <c r="AA9" s="43" t="s">
        <v>534</v>
      </c>
    </row>
    <row r="10" customFormat="false" ht="22.35" hidden="false" customHeight="false" outlineLevel="0" collapsed="false">
      <c r="A10" s="27" t="s">
        <v>534</v>
      </c>
      <c r="B10" s="27" t="s"/>
      <c r="C10" s="28" t="s">
        <v>535</v>
      </c>
      <c r="D10" s="29" t="s">
        <v>536</v>
      </c>
      <c r="E10" s="30" t="n">
        <v>3</v>
      </c>
      <c r="F10" s="31" t="n">
        <v>2800</v>
      </c>
      <c r="G10" s="44"/>
      <c r="H10" s="77"/>
      <c r="I10" s="33"/>
      <c r="J10" s="34"/>
      <c r="K10" s="34"/>
      <c r="L10" s="34"/>
      <c r="M10" s="34"/>
      <c r="N10" s="34"/>
      <c r="O10" s="34"/>
      <c r="P10" s="35"/>
      <c r="Q10" s="37" t="s">
        <v>537</v>
      </c>
      <c r="R10" s="37" t="s">
        <v>538</v>
      </c>
      <c r="S10" s="46" t="n">
        <v>29</v>
      </c>
      <c r="T10" s="38" t="n">
        <v>38094.6</v>
      </c>
      <c r="U10" s="46"/>
      <c r="V10" s="39"/>
      <c r="W10" s="40" t="n">
        <f aca="false">SUM(E10,S10)</f>
        <v>32</v>
      </c>
      <c r="X10" s="41" t="n">
        <f aca="false">SUM(F10,T10)</f>
        <v>40894.6</v>
      </c>
      <c r="Y10" s="42"/>
      <c r="Z10" s="43" t="n">
        <v>473</v>
      </c>
      <c r="AA10" s="43" t="s">
        <v>539</v>
      </c>
    </row>
    <row r="11" customFormat="false" ht="22.35" hidden="false" customHeight="false" outlineLevel="0" collapsed="false">
      <c r="A11" s="27" t="s">
        <v>539</v>
      </c>
      <c r="B11" s="27" t="s"/>
      <c r="C11" s="28" t="s">
        <v>540</v>
      </c>
      <c r="D11" s="44" t="s">
        <v>28</v>
      </c>
      <c r="E11" s="30" t="n">
        <v>1</v>
      </c>
      <c r="F11" s="31" t="n">
        <v>2500</v>
      </c>
      <c r="G11" s="44"/>
      <c r="H11" s="77"/>
      <c r="I11" s="33"/>
      <c r="J11" s="34"/>
      <c r="K11" s="34"/>
      <c r="L11" s="34"/>
      <c r="M11" s="34"/>
      <c r="N11" s="34"/>
      <c r="O11" s="34"/>
      <c r="P11" s="35"/>
      <c r="Q11" s="37" t="s">
        <v>541</v>
      </c>
      <c r="R11" s="37" t="s">
        <v>542</v>
      </c>
      <c r="S11" s="46" t="n">
        <v>23</v>
      </c>
      <c r="T11" s="38" t="n">
        <v>34183.1</v>
      </c>
      <c r="U11" s="46"/>
      <c r="V11" s="39"/>
      <c r="W11" s="40" t="n">
        <f aca="false">SUM(E11,S11)</f>
        <v>24</v>
      </c>
      <c r="X11" s="41" t="n">
        <f aca="false">SUM(F11,T11)</f>
        <v>36683.1</v>
      </c>
      <c r="Y11" s="42"/>
      <c r="Z11" s="43" t="n">
        <v>481</v>
      </c>
      <c r="AA11" s="43" t="s">
        <v>543</v>
      </c>
    </row>
    <row r="12" customFormat="false" ht="22.35" hidden="false" customHeight="false" outlineLevel="0" collapsed="false">
      <c r="A12" s="27" t="s">
        <v>544</v>
      </c>
      <c r="B12" s="27" t="s"/>
      <c r="C12" s="45" t="s">
        <v>28</v>
      </c>
      <c r="D12" s="44" t="s">
        <v>28</v>
      </c>
      <c r="E12" s="30" t="s">
        <v>28</v>
      </c>
      <c r="F12" s="31" t="s">
        <v>28</v>
      </c>
      <c r="G12" s="44"/>
      <c r="H12" s="77"/>
      <c r="I12" s="33"/>
      <c r="J12" s="34"/>
      <c r="K12" s="34"/>
      <c r="L12" s="34"/>
      <c r="M12" s="34"/>
      <c r="N12" s="34"/>
      <c r="O12" s="34"/>
      <c r="P12" s="35"/>
      <c r="Q12" s="37" t="s">
        <v>545</v>
      </c>
      <c r="R12" s="37" t="s">
        <v>546</v>
      </c>
      <c r="S12" s="46" t="n">
        <v>40</v>
      </c>
      <c r="T12" s="38" t="n">
        <v>49358</v>
      </c>
      <c r="U12" s="46"/>
      <c r="V12" s="39"/>
      <c r="W12" s="40" t="n">
        <f aca="false">SUM(E12,S12)</f>
        <v>40</v>
      </c>
      <c r="X12" s="41" t="n">
        <f aca="false">SUM(F12,T12)</f>
        <v>49358</v>
      </c>
      <c r="Y12" s="42"/>
      <c r="Z12" s="43" t="n">
        <v>488</v>
      </c>
      <c r="AA12" s="43" t="s">
        <v>547</v>
      </c>
    </row>
    <row r="13" customFormat="false" ht="22.35" hidden="false" customHeight="false" outlineLevel="0" collapsed="false">
      <c r="A13" s="27" t="s">
        <v>547</v>
      </c>
      <c r="B13" s="27" t="s"/>
      <c r="C13" s="45" t="s">
        <v>28</v>
      </c>
      <c r="D13" s="44" t="s">
        <v>28</v>
      </c>
      <c r="E13" s="30" t="s">
        <v>28</v>
      </c>
      <c r="F13" s="31" t="s">
        <v>28</v>
      </c>
      <c r="G13" s="44"/>
      <c r="H13" s="77"/>
      <c r="I13" s="33"/>
      <c r="J13" s="34"/>
      <c r="K13" s="34"/>
      <c r="L13" s="34"/>
      <c r="M13" s="34"/>
      <c r="N13" s="34"/>
      <c r="O13" s="34"/>
      <c r="P13" s="35"/>
      <c r="Q13" s="37" t="s">
        <v>548</v>
      </c>
      <c r="R13" s="37" t="s">
        <v>549</v>
      </c>
      <c r="S13" s="46" t="n">
        <v>10</v>
      </c>
      <c r="T13" s="38" t="n">
        <v>12761.2</v>
      </c>
      <c r="U13" s="46"/>
      <c r="V13" s="39"/>
      <c r="W13" s="40" t="n">
        <f aca="false">SUM(E13,S13)</f>
        <v>10</v>
      </c>
      <c r="X13" s="41" t="n">
        <f aca="false">SUM(F13,T13)</f>
        <v>12761.2</v>
      </c>
      <c r="Y13" s="42"/>
      <c r="Z13" s="43" t="n">
        <v>494</v>
      </c>
      <c r="AA13" s="43" t="s">
        <v>550</v>
      </c>
    </row>
    <row r="14" customFormat="false" ht="22.35" hidden="false" customHeight="false" outlineLevel="0" collapsed="false">
      <c r="A14" s="27" t="s">
        <v>551</v>
      </c>
      <c r="B14" s="27" t="s"/>
      <c r="C14" s="45" t="s">
        <v>28</v>
      </c>
      <c r="D14" s="44" t="s">
        <v>28</v>
      </c>
      <c r="E14" s="30" t="s">
        <v>28</v>
      </c>
      <c r="F14" s="31" t="s">
        <v>28</v>
      </c>
      <c r="G14" s="44"/>
      <c r="H14" s="77"/>
      <c r="I14" s="33"/>
      <c r="J14" s="34"/>
      <c r="K14" s="34"/>
      <c r="L14" s="48"/>
      <c r="M14" s="34"/>
      <c r="N14" s="34"/>
      <c r="O14" s="34"/>
      <c r="P14" s="35"/>
      <c r="Q14" s="37" t="s">
        <v>552</v>
      </c>
      <c r="R14" s="37" t="s">
        <v>553</v>
      </c>
      <c r="S14" s="46" t="n">
        <v>21</v>
      </c>
      <c r="T14" s="38" t="n">
        <v>24085</v>
      </c>
      <c r="U14" s="46"/>
      <c r="V14" s="39"/>
      <c r="W14" s="40" t="n">
        <f aca="false">SUM(E14,S14)</f>
        <v>21</v>
      </c>
      <c r="X14" s="41" t="n">
        <f aca="false">SUM(F14,T14)</f>
        <v>24085</v>
      </c>
      <c r="Y14" s="42"/>
      <c r="Z14" s="43" t="n">
        <v>500</v>
      </c>
      <c r="AA14" s="43" t="s">
        <v>554</v>
      </c>
    </row>
    <row r="15" customFormat="false" ht="22.35" hidden="false" customHeight="false" outlineLevel="0" collapsed="false">
      <c r="A15" s="27" t="s">
        <v>554</v>
      </c>
      <c r="B15" s="27" t="s"/>
      <c r="C15" s="45" t="s">
        <v>28</v>
      </c>
      <c r="D15" s="44" t="s">
        <v>28</v>
      </c>
      <c r="E15" s="30" t="s">
        <v>28</v>
      </c>
      <c r="F15" s="31" t="s">
        <v>28</v>
      </c>
      <c r="G15" s="44"/>
      <c r="H15" s="77"/>
      <c r="I15" s="33"/>
      <c r="J15" s="34"/>
      <c r="K15" s="34"/>
      <c r="L15" s="48"/>
      <c r="M15" s="34"/>
      <c r="N15" s="34"/>
      <c r="O15" s="34"/>
      <c r="P15" s="35"/>
      <c r="Q15" s="37" t="s">
        <v>555</v>
      </c>
      <c r="R15" s="37" t="s">
        <v>556</v>
      </c>
      <c r="S15" s="46" t="n">
        <v>15</v>
      </c>
      <c r="T15" s="38" t="n">
        <v>16485</v>
      </c>
      <c r="U15" s="46"/>
      <c r="V15" s="39"/>
      <c r="W15" s="40" t="n">
        <f aca="false">SUM(E15,S15)</f>
        <v>15</v>
      </c>
      <c r="X15" s="41" t="n">
        <f aca="false">SUM(F15,T15)</f>
        <v>16485</v>
      </c>
      <c r="Y15" s="42"/>
      <c r="Z15" s="43" t="n">
        <v>508</v>
      </c>
      <c r="AA15" s="43" t="s">
        <v>557</v>
      </c>
    </row>
    <row r="16" customFormat="false" ht="22.35" hidden="false" customHeight="false" outlineLevel="0" collapsed="false">
      <c r="A16" s="27" t="s">
        <v>557</v>
      </c>
      <c r="B16" s="27" t="s"/>
      <c r="C16" s="45" t="s">
        <v>28</v>
      </c>
      <c r="D16" s="44" t="s">
        <v>28</v>
      </c>
      <c r="E16" s="30" t="s">
        <v>28</v>
      </c>
      <c r="F16" s="31" t="s">
        <v>28</v>
      </c>
      <c r="G16" s="44"/>
      <c r="H16" s="77"/>
      <c r="I16" s="33"/>
      <c r="J16" s="34"/>
      <c r="K16" s="34"/>
      <c r="L16" s="34"/>
      <c r="M16" s="34"/>
      <c r="N16" s="34"/>
      <c r="O16" s="34"/>
      <c r="P16" s="35"/>
      <c r="Q16" s="37" t="s">
        <v>558</v>
      </c>
      <c r="R16" s="37" t="s">
        <v>559</v>
      </c>
      <c r="S16" s="46" t="n">
        <v>36</v>
      </c>
      <c r="T16" s="38" t="n">
        <v>46814.2</v>
      </c>
      <c r="U16" s="46"/>
      <c r="V16" s="39"/>
      <c r="W16" s="40" t="n">
        <f aca="false">SUM(E16,S16)</f>
        <v>36</v>
      </c>
      <c r="X16" s="41" t="n">
        <f aca="false">SUM(F16,T16)</f>
        <v>46814.2</v>
      </c>
      <c r="Y16" s="42"/>
      <c r="Z16" s="43" t="n">
        <v>514</v>
      </c>
      <c r="AA16" s="43" t="s">
        <v>560</v>
      </c>
    </row>
    <row r="17" customFormat="false" ht="22.35" hidden="false" customHeight="false" outlineLevel="0" collapsed="false">
      <c r="A17" s="27" t="s">
        <v>560</v>
      </c>
      <c r="B17" s="27" t="s"/>
      <c r="C17" s="45" t="s">
        <v>28</v>
      </c>
      <c r="D17" s="45" t="s">
        <v>28</v>
      </c>
      <c r="E17" s="30" t="s">
        <v>28</v>
      </c>
      <c r="F17" s="31" t="s">
        <v>28</v>
      </c>
      <c r="G17" s="44"/>
      <c r="H17" s="77"/>
      <c r="I17" s="33"/>
      <c r="J17" s="34"/>
      <c r="K17" s="34"/>
      <c r="L17" s="34"/>
      <c r="M17" s="34"/>
      <c r="N17" s="34"/>
      <c r="O17" s="34"/>
      <c r="P17" s="35"/>
      <c r="Q17" s="37" t="s">
        <v>561</v>
      </c>
      <c r="R17" s="37" t="s">
        <v>562</v>
      </c>
      <c r="S17" s="46" t="n">
        <v>31</v>
      </c>
      <c r="T17" s="38" t="n">
        <v>36188.8</v>
      </c>
      <c r="U17" s="46"/>
      <c r="V17" s="39"/>
      <c r="W17" s="40" t="n">
        <f aca="false">SUM(E17,S17)</f>
        <v>31</v>
      </c>
      <c r="X17" s="41" t="n">
        <f aca="false">SUM(F17,T17)</f>
        <v>36188.8</v>
      </c>
      <c r="Y17" s="42"/>
      <c r="Z17" s="43" t="n">
        <v>521</v>
      </c>
      <c r="AA17" s="43" t="s">
        <v>563</v>
      </c>
    </row>
    <row r="18" customFormat="false" ht="22.35" hidden="false" customHeight="false" outlineLevel="0" collapsed="false">
      <c r="A18" s="27" t="s">
        <v>563</v>
      </c>
      <c r="B18" s="27" t="s"/>
      <c r="C18" s="45" t="s">
        <v>28</v>
      </c>
      <c r="D18" s="44" t="s">
        <v>28</v>
      </c>
      <c r="E18" s="30" t="s">
        <v>28</v>
      </c>
      <c r="F18" s="31" t="s">
        <v>28</v>
      </c>
      <c r="G18" s="44"/>
      <c r="H18" s="77"/>
      <c r="I18" s="33"/>
      <c r="J18" s="34"/>
      <c r="K18" s="34"/>
      <c r="L18" s="34"/>
      <c r="M18" s="34"/>
      <c r="N18" s="34"/>
      <c r="O18" s="34"/>
      <c r="P18" s="35"/>
      <c r="Q18" s="36" t="s">
        <v>564</v>
      </c>
      <c r="R18" s="37" t="s">
        <v>565</v>
      </c>
      <c r="S18" s="46" t="n">
        <v>19</v>
      </c>
      <c r="T18" s="38" t="n">
        <v>21420</v>
      </c>
      <c r="U18" s="46"/>
      <c r="V18" s="39"/>
      <c r="W18" s="40" t="n">
        <f aca="false">SUM(E18,S18)</f>
        <v>19</v>
      </c>
      <c r="X18" s="41" t="n">
        <f aca="false">SUM(F18,T18)</f>
        <v>21420</v>
      </c>
      <c r="Y18" s="42"/>
      <c r="Z18" s="43" t="n">
        <v>529</v>
      </c>
      <c r="AA18" s="43" t="s">
        <v>566</v>
      </c>
    </row>
    <row r="19" customFormat="false" ht="22.35" hidden="false" customHeight="false" outlineLevel="0" collapsed="false">
      <c r="A19" s="27" t="s">
        <v>567</v>
      </c>
      <c r="B19" s="27" t="s"/>
      <c r="C19" s="45" t="s">
        <v>28</v>
      </c>
      <c r="D19" s="44" t="s">
        <v>28</v>
      </c>
      <c r="E19" s="30" t="s">
        <v>28</v>
      </c>
      <c r="F19" s="31" t="s">
        <v>28</v>
      </c>
      <c r="G19" s="44"/>
      <c r="H19" s="77"/>
      <c r="I19" s="33"/>
      <c r="J19" s="34"/>
      <c r="K19" s="34"/>
      <c r="L19" s="34"/>
      <c r="M19" s="34"/>
      <c r="N19" s="34"/>
      <c r="O19" s="34"/>
      <c r="P19" s="35"/>
      <c r="Q19" s="36" t="s">
        <v>568</v>
      </c>
      <c r="R19" s="37" t="s">
        <v>569</v>
      </c>
      <c r="S19" s="46" t="n">
        <v>24</v>
      </c>
      <c r="T19" s="38" t="n">
        <v>25405.4</v>
      </c>
      <c r="U19" s="46"/>
      <c r="V19" s="39"/>
      <c r="W19" s="40" t="n">
        <f aca="false">SUM(E19,S19)</f>
        <v>24</v>
      </c>
      <c r="X19" s="41" t="n">
        <f aca="false">SUM(F19,T19)</f>
        <v>25405.4</v>
      </c>
      <c r="Y19" s="42"/>
      <c r="Z19" s="43" t="n">
        <v>532</v>
      </c>
      <c r="AA19" s="43" t="s">
        <v>570</v>
      </c>
    </row>
    <row r="20" customFormat="false" ht="22.35" hidden="false" customHeight="false" outlineLevel="0" collapsed="false">
      <c r="A20" s="27" t="s">
        <v>570</v>
      </c>
      <c r="B20" s="27" t="s"/>
      <c r="C20" s="28" t="s">
        <v>571</v>
      </c>
      <c r="D20" s="29" t="s">
        <v>572</v>
      </c>
      <c r="E20" s="30" t="n">
        <v>3</v>
      </c>
      <c r="F20" s="31" t="n">
        <v>600</v>
      </c>
      <c r="G20" s="44"/>
      <c r="H20" s="77"/>
      <c r="I20" s="33"/>
      <c r="J20" s="34"/>
      <c r="K20" s="34"/>
      <c r="L20" s="34"/>
      <c r="M20" s="34"/>
      <c r="N20" s="34"/>
      <c r="O20" s="34"/>
      <c r="P20" s="35"/>
      <c r="Q20" s="97" t="s">
        <v>573</v>
      </c>
      <c r="R20" s="97" t="s">
        <v>574</v>
      </c>
      <c r="S20" s="46" t="n">
        <v>34</v>
      </c>
      <c r="T20" s="38" t="n">
        <v>41934.9</v>
      </c>
      <c r="U20" s="46"/>
      <c r="V20" s="39"/>
      <c r="W20" s="40" t="n">
        <f aca="false">SUM(E20,S20)</f>
        <v>37</v>
      </c>
      <c r="X20" s="41" t="n">
        <f aca="false">SUM(F20,T20)</f>
        <v>42534.9</v>
      </c>
      <c r="Y20" s="42"/>
      <c r="Z20" s="43" t="n">
        <v>539</v>
      </c>
      <c r="AA20" s="43" t="s">
        <v>575</v>
      </c>
    </row>
    <row r="21" customFormat="false" ht="22.35" hidden="false" customHeight="false" outlineLevel="0" collapsed="false">
      <c r="A21" s="27" t="s">
        <v>575</v>
      </c>
      <c r="B21" s="27" t="s"/>
      <c r="C21" s="28" t="s">
        <v>576</v>
      </c>
      <c r="D21" s="44" t="s">
        <v>28</v>
      </c>
      <c r="E21" s="30" t="n">
        <v>1</v>
      </c>
      <c r="F21" s="31" t="n">
        <v>200</v>
      </c>
      <c r="G21" s="44"/>
      <c r="H21" s="77"/>
      <c r="I21" s="33"/>
      <c r="J21" s="34"/>
      <c r="K21" s="34"/>
      <c r="L21" s="34"/>
      <c r="M21" s="34"/>
      <c r="N21" s="34"/>
      <c r="O21" s="34"/>
      <c r="P21" s="35"/>
      <c r="Q21" s="97" t="s">
        <v>577</v>
      </c>
      <c r="R21" s="37" t="s">
        <v>578</v>
      </c>
      <c r="S21" s="46" t="n">
        <v>19</v>
      </c>
      <c r="T21" s="38" t="n">
        <v>22641.2</v>
      </c>
      <c r="U21" s="46"/>
      <c r="V21" s="39"/>
      <c r="W21" s="40" t="n">
        <f aca="false">SUM(E21,S21)</f>
        <v>20</v>
      </c>
      <c r="X21" s="41" t="n">
        <f aca="false">SUM(F21,T21)</f>
        <v>22841.2</v>
      </c>
      <c r="Y21" s="42"/>
      <c r="Z21" s="43" t="n">
        <v>546</v>
      </c>
      <c r="AA21" s="43" t="s">
        <v>579</v>
      </c>
    </row>
    <row r="22" customFormat="false" ht="22.35" hidden="false" customHeight="false" outlineLevel="0" collapsed="false">
      <c r="A22" s="27" t="s">
        <v>579</v>
      </c>
      <c r="B22" s="27" t="s"/>
      <c r="C22" s="45" t="s">
        <v>28</v>
      </c>
      <c r="D22" s="44" t="s">
        <v>28</v>
      </c>
      <c r="E22" s="30" t="s">
        <v>28</v>
      </c>
      <c r="F22" s="31" t="s">
        <v>28</v>
      </c>
      <c r="G22" s="44"/>
      <c r="H22" s="77"/>
      <c r="I22" s="33"/>
      <c r="J22" s="34"/>
      <c r="K22" s="34"/>
      <c r="L22" s="34"/>
      <c r="M22" s="34"/>
      <c r="N22" s="34"/>
      <c r="O22" s="34"/>
      <c r="P22" s="35"/>
      <c r="Q22" s="37" t="s">
        <v>580</v>
      </c>
      <c r="R22" s="37" t="s">
        <v>581</v>
      </c>
      <c r="S22" s="46" t="n">
        <v>24</v>
      </c>
      <c r="T22" s="38" t="n">
        <v>27639.9</v>
      </c>
      <c r="U22" s="46"/>
      <c r="V22" s="39"/>
      <c r="W22" s="40" t="n">
        <f aca="false">SUM(E22,S22)</f>
        <v>24</v>
      </c>
      <c r="X22" s="41" t="n">
        <f aca="false">SUM(F22,T22)</f>
        <v>27639.9</v>
      </c>
      <c r="Y22" s="42"/>
      <c r="Z22" s="43" t="n">
        <v>551</v>
      </c>
      <c r="AA22" s="43" t="s">
        <v>582</v>
      </c>
    </row>
    <row r="23" customFormat="false" ht="22.35" hidden="true" customHeight="false" outlineLevel="0" collapsed="false">
      <c r="A23" s="27" t="s">
        <v>582</v>
      </c>
      <c r="B23" s="27" t="s"/>
      <c r="C23" s="45"/>
      <c r="D23" s="44"/>
      <c r="E23" s="30"/>
      <c r="F23" s="31"/>
      <c r="G23" s="44"/>
      <c r="H23" s="77"/>
      <c r="I23" s="33"/>
      <c r="J23" s="34"/>
      <c r="K23" s="34"/>
      <c r="L23" s="34"/>
      <c r="M23" s="34"/>
      <c r="N23" s="34"/>
      <c r="O23" s="34"/>
      <c r="P23" s="35"/>
      <c r="Q23" s="46"/>
      <c r="R23" s="46"/>
      <c r="S23" s="46"/>
      <c r="T23" s="38"/>
      <c r="U23" s="46"/>
      <c r="V23" s="39"/>
      <c r="W23" s="40" t="n">
        <f aca="false">SUM(E23,S23)</f>
        <v>0</v>
      </c>
      <c r="X23" s="41" t="n">
        <f aca="false">SUM(F23,T23)</f>
        <v>0</v>
      </c>
      <c r="Y23" s="42"/>
      <c r="Z23" s="43"/>
      <c r="AA23" s="43"/>
    </row>
    <row r="24" customFormat="false" ht="19.7" hidden="false" customHeight="false" outlineLevel="0" collapsed="false">
      <c r="A24" s="85" t="s">
        <v>96</v>
      </c>
      <c r="B24" s="85" t="s"/>
      <c r="C24" s="85"/>
      <c r="D24" s="85"/>
      <c r="E24" s="86" t="n">
        <f aca="false">SUM(E6:E23)</f>
        <v>11</v>
      </c>
      <c r="F24" s="87" t="n">
        <f aca="false">SUM(F6:F23)</f>
        <v>7800</v>
      </c>
      <c r="G24" s="88"/>
      <c r="H24" s="89"/>
      <c r="I24" s="90" t="s">
        <v>96</v>
      </c>
      <c r="J24" s="90"/>
      <c r="K24" s="90"/>
      <c r="L24" s="90"/>
      <c r="M24" s="88"/>
      <c r="N24" s="88"/>
      <c r="O24" s="88"/>
      <c r="P24" s="89"/>
      <c r="Q24" s="90" t="s">
        <v>96</v>
      </c>
      <c r="R24" s="90"/>
      <c r="S24" s="91" t="n">
        <f aca="false">SUM(S6:S23)</f>
        <v>390</v>
      </c>
      <c r="T24" s="87" t="n">
        <f aca="false">SUM(T6:T23)</f>
        <v>483442.3</v>
      </c>
      <c r="U24" s="88" t="n">
        <f aca="false">SUM(U6:U23)</f>
        <v>0</v>
      </c>
      <c r="V24" s="100" t="n">
        <f aca="false">SUM(V6:V23)</f>
        <v>0</v>
      </c>
      <c r="W24" s="101" t="n">
        <f aca="false">SUM(W6:W23)</f>
        <v>401</v>
      </c>
      <c r="X24" s="102" t="n">
        <f aca="false">SUM(X6:X23)</f>
        <v>491242.3</v>
      </c>
      <c r="Y24" s="103"/>
      <c r="Z24" s="88"/>
      <c r="AA24" s="89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104"/>
      <c r="X26" s="2"/>
      <c r="Y26" s="2"/>
      <c r="Z26" s="2"/>
      <c r="AA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</sheetData>
  <mergeCells count="30">
    <mergeCell ref="A1:AA1"/>
    <mergeCell ref="A3:A5"/>
    <mergeCell ref="C3:H3"/>
    <mergeCell ref="I3:P3"/>
    <mergeCell ref="Q3:V3"/>
    <mergeCell ref="W3:X3"/>
    <mergeCell ref="Y3:Y5"/>
    <mergeCell ref="Z3:Z5"/>
    <mergeCell ref="AA3:AA5"/>
    <mergeCell ref="C4:C5"/>
    <mergeCell ref="D4:D5"/>
    <mergeCell ref="E4:E5"/>
    <mergeCell ref="F4:F5"/>
    <mergeCell ref="G4:H4"/>
    <mergeCell ref="I4:J5"/>
    <mergeCell ref="K4:K5"/>
    <mergeCell ref="L4:L5"/>
    <mergeCell ref="M4:M5"/>
    <mergeCell ref="N4:N5"/>
    <mergeCell ref="O4:P4"/>
    <mergeCell ref="Q4:Q5"/>
    <mergeCell ref="R4:R5"/>
    <mergeCell ref="S4:S5"/>
    <mergeCell ref="T4:T5"/>
    <mergeCell ref="U4:V4"/>
    <mergeCell ref="W4:W5"/>
    <mergeCell ref="X4:X5"/>
    <mergeCell ref="A24:D24"/>
    <mergeCell ref="I24:L24"/>
    <mergeCell ref="Q24:R24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>
  <sheetPr filterMode="false">
    <outlinePr summaryBelow="0"/>
    <pageSetUpPr fitToPage="true"/>
  </sheetPr>
  <dimension ref="A1:AA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63"/>
    <col collapsed="false" customWidth="true" hidden="false" outlineLevel="0" style="0" width="18.63" min="2" max="2"/>
    <col collapsed="false" customWidth="true" hidden="false" outlineLevel="0" max="7" min="7" style="0" width="14.63"/>
    <col collapsed="false" customWidth="true" hidden="false" outlineLevel="0" max="8" min="8" style="0" width="17.5"/>
    <col collapsed="false" customWidth="false" hidden="true" outlineLevel="0" max="16" min="9" style="0" width="12.63"/>
    <col collapsed="false" customWidth="true" hidden="false" outlineLevel="0" max="23" min="23" style="0" width="14.88"/>
    <col collapsed="false" customWidth="true" hidden="false" outlineLevel="0" max="24" min="24" style="0" width="12.5"/>
  </cols>
  <sheetData>
    <row r="1" customFormat="false" ht="26.1" hidden="false" customHeight="false" outlineLevel="0" collapsed="false">
      <c r="A1" s="1" t="s">
        <v>583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43.25" hidden="false" customHeight="true" outlineLevel="0" collapsed="false">
      <c r="A3" s="3" t="s">
        <v>1</v>
      </c>
      <c r="B3" s="3" t="inlineStr">
        <is>
          <t>ข้อมูลกฎหมาย</t>
        </is>
      </c>
      <c r="C3" s="4" t="s">
        <v>2</v>
      </c>
      <c r="D3" s="4"/>
      <c r="E3" s="4"/>
      <c r="F3" s="4"/>
      <c r="G3" s="4"/>
      <c r="H3" s="4"/>
      <c r="I3" s="5" t="s">
        <v>3</v>
      </c>
      <c r="J3" s="5"/>
      <c r="K3" s="5"/>
      <c r="L3" s="5"/>
      <c r="M3" s="5"/>
      <c r="N3" s="5"/>
      <c r="O3" s="5"/>
      <c r="P3" s="5"/>
      <c r="Q3" s="6" t="s">
        <v>4</v>
      </c>
      <c r="R3" s="6"/>
      <c r="S3" s="6"/>
      <c r="T3" s="6"/>
      <c r="U3" s="6"/>
      <c r="V3" s="6"/>
      <c r="W3" s="105" t="s">
        <v>584</v>
      </c>
      <c r="X3" s="105"/>
      <c r="Y3" s="8" t="s">
        <v>6</v>
      </c>
      <c r="Z3" s="9" t="s">
        <v>7</v>
      </c>
      <c r="AA3" s="10" t="s">
        <v>8</v>
      </c>
    </row>
    <row r="4" customFormat="false" ht="22.35" hidden="false" customHeight="false" outlineLevel="0" collapsed="false">
      <c r="A4" s="3"/>
      <c r="B4" s="3" t="inlineStr">
        <is>
          <t>กฎหมาย</t>
        </is>
      </c>
      <c r="C4" s="11" t="s">
        <v>9</v>
      </c>
      <c r="D4" s="12" t="s">
        <v>10</v>
      </c>
      <c r="E4" s="12" t="s">
        <v>11</v>
      </c>
      <c r="F4" s="13" t="s">
        <v>12</v>
      </c>
      <c r="G4" s="14" t="s">
        <v>13</v>
      </c>
      <c r="H4" s="14"/>
      <c r="I4" s="15" t="s">
        <v>14</v>
      </c>
      <c r="J4" s="15"/>
      <c r="K4" s="16" t="s">
        <v>9</v>
      </c>
      <c r="L4" s="16" t="s">
        <v>10</v>
      </c>
      <c r="M4" s="17" t="s">
        <v>11</v>
      </c>
      <c r="N4" s="18" t="s">
        <v>12</v>
      </c>
      <c r="O4" s="19" t="s">
        <v>13</v>
      </c>
      <c r="P4" s="19"/>
      <c r="Q4" s="20" t="s">
        <v>9</v>
      </c>
      <c r="R4" s="21" t="s">
        <v>10</v>
      </c>
      <c r="S4" s="22" t="s">
        <v>11</v>
      </c>
      <c r="T4" s="21" t="s">
        <v>12</v>
      </c>
      <c r="U4" s="23" t="s">
        <v>15</v>
      </c>
      <c r="V4" s="23"/>
      <c r="W4" s="24" t="s">
        <v>16</v>
      </c>
      <c r="X4" s="25" t="s">
        <v>17</v>
      </c>
      <c r="Y4" s="8"/>
      <c r="Z4" s="9"/>
      <c r="AA4" s="9"/>
    </row>
    <row r="5" customFormat="false" ht="19.7" hidden="false" customHeight="false" outlineLevel="0" collapsed="false">
      <c r="A5" s="3"/>
      <c r="B5" s="3"/>
      <c r="C5" s="11"/>
      <c r="D5" s="12"/>
      <c r="E5" s="12"/>
      <c r="F5" s="12"/>
      <c r="G5" s="26" t="s">
        <v>11</v>
      </c>
      <c r="H5" s="14" t="s">
        <v>18</v>
      </c>
      <c r="I5" s="15"/>
      <c r="J5" s="15"/>
      <c r="K5" s="16"/>
      <c r="L5" s="16"/>
      <c r="M5" s="16"/>
      <c r="N5" s="16"/>
      <c r="O5" s="17" t="s">
        <v>11</v>
      </c>
      <c r="P5" s="19" t="s">
        <v>18</v>
      </c>
      <c r="Q5" s="20"/>
      <c r="R5" s="21"/>
      <c r="S5" s="21"/>
      <c r="T5" s="21"/>
      <c r="U5" s="22" t="s">
        <v>11</v>
      </c>
      <c r="V5" s="23" t="s">
        <v>18</v>
      </c>
      <c r="W5" s="24"/>
      <c r="X5" s="25"/>
      <c r="Y5" s="8"/>
      <c r="Z5" s="9"/>
      <c r="AA5" s="9"/>
    </row>
    <row r="6" customFormat="false" ht="81.3" hidden="false" customHeight="false" outlineLevel="0" collapsed="false">
      <c r="A6" s="27" t="s">
        <v>585</v>
      </c>
      <c r="B6" s="27" t="s"/>
      <c r="C6" s="28" t="s">
        <v>586</v>
      </c>
      <c r="D6" s="44" t="s">
        <v>28</v>
      </c>
      <c r="E6" s="30" t="n">
        <v>1</v>
      </c>
      <c r="F6" s="31" t="n">
        <v>1600</v>
      </c>
      <c r="G6" s="44"/>
      <c r="H6" s="77"/>
      <c r="I6" s="33"/>
      <c r="J6" s="34"/>
      <c r="K6" s="34"/>
      <c r="L6" s="34"/>
      <c r="M6" s="34"/>
      <c r="N6" s="34"/>
      <c r="O6" s="34"/>
      <c r="P6" s="35"/>
      <c r="Q6" s="37" t="s">
        <v>587</v>
      </c>
      <c r="R6" s="37" t="s">
        <v>588</v>
      </c>
      <c r="S6" s="46" t="n">
        <v>33</v>
      </c>
      <c r="T6" s="38" t="n">
        <v>40821.62</v>
      </c>
      <c r="U6" s="46" t="n">
        <v>5</v>
      </c>
      <c r="V6" s="106" t="s">
        <v>589</v>
      </c>
      <c r="W6" s="107" t="n">
        <f aca="false">SUM(E6,S6)</f>
        <v>34</v>
      </c>
      <c r="X6" s="108" t="n">
        <f aca="false">SUM(F6,T6)</f>
        <v>42421.62</v>
      </c>
      <c r="Y6" s="109" t="s">
        <v>590</v>
      </c>
      <c r="Z6" s="43" t="n">
        <v>568</v>
      </c>
      <c r="AA6" s="43" t="s">
        <v>591</v>
      </c>
    </row>
    <row r="7" customFormat="false" ht="22.35" hidden="false" customHeight="false" outlineLevel="0" collapsed="false">
      <c r="A7" s="27" t="s">
        <v>592</v>
      </c>
      <c r="B7" s="27" t="s"/>
      <c r="C7" s="28" t="s">
        <v>593</v>
      </c>
      <c r="D7" s="29" t="s">
        <v>594</v>
      </c>
      <c r="E7" s="30" t="n">
        <v>3</v>
      </c>
      <c r="F7" s="31" t="n">
        <v>600</v>
      </c>
      <c r="G7" s="45"/>
      <c r="H7" s="78"/>
      <c r="I7" s="33"/>
      <c r="J7" s="34"/>
      <c r="K7" s="34"/>
      <c r="L7" s="34"/>
      <c r="M7" s="34"/>
      <c r="N7" s="34"/>
      <c r="O7" s="34"/>
      <c r="P7" s="82"/>
      <c r="Q7" s="36" t="s">
        <v>595</v>
      </c>
      <c r="R7" s="37" t="s">
        <v>596</v>
      </c>
      <c r="S7" s="46" t="n">
        <v>23</v>
      </c>
      <c r="T7" s="38" t="n">
        <v>25875.61</v>
      </c>
      <c r="U7" s="46"/>
      <c r="V7" s="39"/>
      <c r="W7" s="107" t="n">
        <f aca="false">SUM(E7,S7)</f>
        <v>26</v>
      </c>
      <c r="X7" s="108" t="n">
        <f aca="false">SUM(F7,T7)</f>
        <v>26475.61</v>
      </c>
      <c r="Y7" s="42"/>
      <c r="Z7" s="43" t="n">
        <v>574</v>
      </c>
      <c r="AA7" s="43" t="s">
        <v>591</v>
      </c>
    </row>
    <row r="8" customFormat="false" ht="22.35" hidden="false" customHeight="false" outlineLevel="0" collapsed="false">
      <c r="A8" s="27" t="s">
        <v>591</v>
      </c>
      <c r="B8" s="27" t="s"/>
      <c r="C8" s="28" t="s">
        <v>597</v>
      </c>
      <c r="D8" s="44" t="s">
        <v>28</v>
      </c>
      <c r="E8" s="30" t="n">
        <v>1</v>
      </c>
      <c r="F8" s="31" t="n">
        <v>200</v>
      </c>
      <c r="G8" s="44"/>
      <c r="H8" s="77"/>
      <c r="I8" s="33"/>
      <c r="J8" s="34"/>
      <c r="K8" s="34"/>
      <c r="L8" s="34"/>
      <c r="M8" s="34"/>
      <c r="N8" s="34"/>
      <c r="O8" s="34"/>
      <c r="P8" s="35"/>
      <c r="Q8" s="37" t="s">
        <v>598</v>
      </c>
      <c r="R8" s="37" t="s">
        <v>599</v>
      </c>
      <c r="S8" s="46" t="n">
        <v>19</v>
      </c>
      <c r="T8" s="38" t="n">
        <v>32378.75</v>
      </c>
      <c r="U8" s="46"/>
      <c r="V8" s="39"/>
      <c r="W8" s="107" t="n">
        <f aca="false">SUM(E8,S8)</f>
        <v>20</v>
      </c>
      <c r="X8" s="108" t="n">
        <f aca="false">SUM(F8,T8)</f>
        <v>32578.75</v>
      </c>
      <c r="Y8" s="42"/>
      <c r="Z8" s="43" t="n">
        <v>581</v>
      </c>
      <c r="AA8" s="43" t="s">
        <v>600</v>
      </c>
    </row>
    <row r="9" customFormat="false" ht="22.35" hidden="false" customHeight="false" outlineLevel="0" collapsed="false">
      <c r="A9" s="27" t="s">
        <v>600</v>
      </c>
      <c r="B9" s="27" t="s"/>
      <c r="C9" s="45" t="s">
        <v>28</v>
      </c>
      <c r="D9" s="44" t="s">
        <v>28</v>
      </c>
      <c r="E9" s="30" t="s">
        <v>28</v>
      </c>
      <c r="F9" s="31" t="s">
        <v>28</v>
      </c>
      <c r="G9" s="44"/>
      <c r="H9" s="77"/>
      <c r="I9" s="33"/>
      <c r="J9" s="34"/>
      <c r="K9" s="34"/>
      <c r="L9" s="34"/>
      <c r="M9" s="34"/>
      <c r="N9" s="34"/>
      <c r="O9" s="34"/>
      <c r="P9" s="35"/>
      <c r="Q9" s="94" t="s">
        <v>601</v>
      </c>
      <c r="R9" s="37" t="s">
        <v>602</v>
      </c>
      <c r="S9" s="46" t="n">
        <v>16</v>
      </c>
      <c r="T9" s="38" t="n">
        <v>17495.04</v>
      </c>
      <c r="U9" s="46"/>
      <c r="V9" s="39"/>
      <c r="W9" s="107" t="n">
        <f aca="false">SUM(E9,S9)</f>
        <v>16</v>
      </c>
      <c r="X9" s="108" t="n">
        <f aca="false">SUM(F9,T9)</f>
        <v>17495.04</v>
      </c>
      <c r="Y9" s="42"/>
      <c r="Z9" s="43" t="n">
        <v>587</v>
      </c>
      <c r="AA9" s="43" t="s">
        <v>603</v>
      </c>
    </row>
    <row r="10" customFormat="false" ht="22.35" hidden="false" customHeight="false" outlineLevel="0" collapsed="false">
      <c r="A10" s="27" t="s">
        <v>604</v>
      </c>
      <c r="B10" s="27" t="s"/>
      <c r="C10" s="45" t="s">
        <v>28</v>
      </c>
      <c r="D10" s="44" t="s">
        <v>28</v>
      </c>
      <c r="E10" s="30" t="s">
        <v>28</v>
      </c>
      <c r="F10" s="31" t="s">
        <v>28</v>
      </c>
      <c r="G10" s="44"/>
      <c r="H10" s="77"/>
      <c r="I10" s="33"/>
      <c r="J10" s="34"/>
      <c r="K10" s="34"/>
      <c r="L10" s="34"/>
      <c r="M10" s="34"/>
      <c r="N10" s="34"/>
      <c r="O10" s="34"/>
      <c r="P10" s="35"/>
      <c r="Q10" s="37" t="s">
        <v>605</v>
      </c>
      <c r="R10" s="37" t="s">
        <v>606</v>
      </c>
      <c r="S10" s="46" t="n">
        <v>16</v>
      </c>
      <c r="T10" s="38" t="n">
        <v>22648.75</v>
      </c>
      <c r="U10" s="46"/>
      <c r="V10" s="39"/>
      <c r="W10" s="107" t="n">
        <f aca="false">SUM(E10,S10)</f>
        <v>16</v>
      </c>
      <c r="X10" s="108" t="n">
        <f aca="false">SUM(F10,T10)</f>
        <v>22648.75</v>
      </c>
      <c r="Y10" s="42"/>
      <c r="Z10" s="43" t="n">
        <v>595</v>
      </c>
      <c r="AA10" s="43" t="s">
        <v>607</v>
      </c>
    </row>
    <row r="11" customFormat="false" ht="22.35" hidden="false" customHeight="false" outlineLevel="0" collapsed="false">
      <c r="A11" s="27" t="s">
        <v>607</v>
      </c>
      <c r="B11" s="27" t="s"/>
      <c r="C11" s="45" t="s">
        <v>28</v>
      </c>
      <c r="D11" s="44" t="s">
        <v>28</v>
      </c>
      <c r="E11" s="30" t="s">
        <v>28</v>
      </c>
      <c r="F11" s="31" t="s">
        <v>28</v>
      </c>
      <c r="G11" s="44"/>
      <c r="H11" s="77"/>
      <c r="I11" s="33"/>
      <c r="J11" s="34"/>
      <c r="K11" s="34"/>
      <c r="L11" s="34"/>
      <c r="M11" s="34"/>
      <c r="N11" s="34"/>
      <c r="O11" s="34"/>
      <c r="P11" s="35"/>
      <c r="Q11" s="37" t="s">
        <v>608</v>
      </c>
      <c r="R11" s="37" t="s">
        <v>609</v>
      </c>
      <c r="S11" s="46" t="n">
        <v>23</v>
      </c>
      <c r="T11" s="38" t="n">
        <v>29121.64</v>
      </c>
      <c r="U11" s="46"/>
      <c r="V11" s="39"/>
      <c r="W11" s="107" t="n">
        <f aca="false">SUM(E11,S11)</f>
        <v>23</v>
      </c>
      <c r="X11" s="108" t="n">
        <f aca="false">SUM(F11,T11)</f>
        <v>29121.64</v>
      </c>
      <c r="Y11" s="42"/>
      <c r="Z11" s="43" t="n">
        <v>602</v>
      </c>
      <c r="AA11" s="43" t="s">
        <v>610</v>
      </c>
    </row>
    <row r="12" customFormat="false" ht="22.35" hidden="false" customHeight="false" outlineLevel="0" collapsed="false">
      <c r="A12" s="27" t="s">
        <v>611</v>
      </c>
      <c r="B12" s="27" t="s"/>
      <c r="C12" s="45" t="s">
        <v>28</v>
      </c>
      <c r="D12" s="44" t="s">
        <v>28</v>
      </c>
      <c r="E12" s="30" t="s">
        <v>28</v>
      </c>
      <c r="F12" s="31" t="s">
        <v>28</v>
      </c>
      <c r="G12" s="44"/>
      <c r="H12" s="77"/>
      <c r="I12" s="33"/>
      <c r="J12" s="34"/>
      <c r="K12" s="34"/>
      <c r="L12" s="34"/>
      <c r="M12" s="34"/>
      <c r="N12" s="34"/>
      <c r="O12" s="34"/>
      <c r="P12" s="35"/>
      <c r="Q12" s="37" t="s">
        <v>612</v>
      </c>
      <c r="R12" s="37" t="s">
        <v>613</v>
      </c>
      <c r="S12" s="46" t="n">
        <v>15</v>
      </c>
      <c r="T12" s="38" t="n">
        <v>24432.73</v>
      </c>
      <c r="U12" s="46"/>
      <c r="V12" s="39"/>
      <c r="W12" s="107" t="n">
        <f aca="false">SUM(E12,S12)</f>
        <v>15</v>
      </c>
      <c r="X12" s="108" t="n">
        <f aca="false">SUM(F12,T12)</f>
        <v>24432.73</v>
      </c>
      <c r="Y12" s="42"/>
      <c r="Z12" s="43" t="n">
        <v>608</v>
      </c>
      <c r="AA12" s="43" t="s">
        <v>614</v>
      </c>
    </row>
    <row r="13" customFormat="false" ht="22.35" hidden="false" customHeight="false" outlineLevel="0" collapsed="false">
      <c r="A13" s="27" t="s">
        <v>614</v>
      </c>
      <c r="B13" s="27" t="s"/>
      <c r="C13" s="45" t="s">
        <v>28</v>
      </c>
      <c r="D13" s="44" t="s">
        <v>28</v>
      </c>
      <c r="E13" s="30" t="s">
        <v>28</v>
      </c>
      <c r="F13" s="31" t="s">
        <v>28</v>
      </c>
      <c r="G13" s="44"/>
      <c r="H13" s="77"/>
      <c r="I13" s="33"/>
      <c r="J13" s="34"/>
      <c r="K13" s="34"/>
      <c r="L13" s="34"/>
      <c r="M13" s="34"/>
      <c r="N13" s="34"/>
      <c r="O13" s="34"/>
      <c r="P13" s="35"/>
      <c r="Q13" s="37" t="s">
        <v>615</v>
      </c>
      <c r="R13" s="37" t="s">
        <v>616</v>
      </c>
      <c r="S13" s="46" t="n">
        <v>28</v>
      </c>
      <c r="T13" s="38" t="n">
        <v>38793.07</v>
      </c>
      <c r="U13" s="46"/>
      <c r="V13" s="39"/>
      <c r="W13" s="107" t="n">
        <f aca="false">SUM(E13,S13)</f>
        <v>28</v>
      </c>
      <c r="X13" s="108" t="n">
        <f aca="false">SUM(F13,T13)</f>
        <v>38793.07</v>
      </c>
      <c r="Y13" s="42"/>
      <c r="Z13" s="43" t="n">
        <v>615</v>
      </c>
      <c r="AA13" s="43" t="s">
        <v>617</v>
      </c>
    </row>
    <row r="14" customFormat="false" ht="22.35" hidden="false" customHeight="false" outlineLevel="0" collapsed="false">
      <c r="A14" s="27" t="s">
        <v>618</v>
      </c>
      <c r="B14" s="27" t="s"/>
      <c r="C14" s="45" t="s">
        <v>28</v>
      </c>
      <c r="D14" s="44" t="s">
        <v>28</v>
      </c>
      <c r="E14" s="30" t="s">
        <v>28</v>
      </c>
      <c r="F14" s="31" t="s">
        <v>28</v>
      </c>
      <c r="G14" s="44"/>
      <c r="H14" s="77"/>
      <c r="I14" s="33"/>
      <c r="J14" s="34"/>
      <c r="K14" s="34"/>
      <c r="L14" s="48"/>
      <c r="M14" s="34"/>
      <c r="N14" s="34"/>
      <c r="O14" s="34"/>
      <c r="P14" s="35"/>
      <c r="Q14" s="37" t="s">
        <v>619</v>
      </c>
      <c r="R14" s="37" t="s">
        <v>620</v>
      </c>
      <c r="S14" s="46" t="n">
        <v>16</v>
      </c>
      <c r="T14" s="38" t="n">
        <v>19056.97</v>
      </c>
      <c r="U14" s="46"/>
      <c r="V14" s="39"/>
      <c r="W14" s="107" t="n">
        <f aca="false">SUM(E14,S14)</f>
        <v>16</v>
      </c>
      <c r="X14" s="108" t="n">
        <f aca="false">SUM(F14,T14)</f>
        <v>19056.97</v>
      </c>
      <c r="Y14" s="42"/>
      <c r="Z14" s="43" t="n">
        <v>622</v>
      </c>
      <c r="AA14" s="43" t="s">
        <v>621</v>
      </c>
    </row>
    <row r="15" customFormat="false" ht="22.35" hidden="false" customHeight="false" outlineLevel="0" collapsed="false">
      <c r="A15" s="27" t="s">
        <v>621</v>
      </c>
      <c r="B15" s="27" t="s"/>
      <c r="C15" s="45" t="s">
        <v>28</v>
      </c>
      <c r="D15" s="44" t="s">
        <v>28</v>
      </c>
      <c r="E15" s="30" t="s">
        <v>28</v>
      </c>
      <c r="F15" s="31" t="s">
        <v>28</v>
      </c>
      <c r="G15" s="44"/>
      <c r="H15" s="77"/>
      <c r="I15" s="33"/>
      <c r="J15" s="34"/>
      <c r="K15" s="34"/>
      <c r="L15" s="48"/>
      <c r="M15" s="34"/>
      <c r="N15" s="34"/>
      <c r="O15" s="34"/>
      <c r="P15" s="35"/>
      <c r="Q15" s="37" t="s">
        <v>622</v>
      </c>
      <c r="R15" s="37" t="s">
        <v>623</v>
      </c>
      <c r="S15" s="46" t="n">
        <v>10</v>
      </c>
      <c r="T15" s="38" t="n">
        <v>10774.2</v>
      </c>
      <c r="U15" s="46"/>
      <c r="V15" s="39"/>
      <c r="W15" s="107" t="n">
        <f aca="false">SUM(E15,S15)</f>
        <v>10</v>
      </c>
      <c r="X15" s="108" t="n">
        <f aca="false">SUM(F15,T15)</f>
        <v>10774.2</v>
      </c>
      <c r="Y15" s="42"/>
      <c r="Z15" s="43" t="n">
        <v>628</v>
      </c>
      <c r="AA15" s="43" t="s">
        <v>624</v>
      </c>
    </row>
    <row r="16" customFormat="false" ht="22.35" hidden="false" customHeight="false" outlineLevel="0" collapsed="false">
      <c r="A16" s="27" t="s">
        <v>624</v>
      </c>
      <c r="B16" s="27" t="s"/>
      <c r="C16" s="45" t="s">
        <v>28</v>
      </c>
      <c r="D16" s="44" t="s">
        <v>28</v>
      </c>
      <c r="E16" s="30" t="s">
        <v>28</v>
      </c>
      <c r="F16" s="31" t="s">
        <v>28</v>
      </c>
      <c r="G16" s="44"/>
      <c r="H16" s="77"/>
      <c r="I16" s="33"/>
      <c r="J16" s="34"/>
      <c r="K16" s="34"/>
      <c r="L16" s="34"/>
      <c r="M16" s="34"/>
      <c r="N16" s="34"/>
      <c r="O16" s="34"/>
      <c r="P16" s="35"/>
      <c r="Q16" s="37" t="s">
        <v>625</v>
      </c>
      <c r="R16" s="37" t="s">
        <v>626</v>
      </c>
      <c r="S16" s="46" t="n">
        <v>18</v>
      </c>
      <c r="T16" s="38" t="n">
        <v>26349.17</v>
      </c>
      <c r="U16" s="46"/>
      <c r="V16" s="39"/>
      <c r="W16" s="107" t="n">
        <f aca="false">SUM(E16,S16)</f>
        <v>18</v>
      </c>
      <c r="X16" s="108" t="n">
        <f aca="false">SUM(F16,T16)</f>
        <v>26349.17</v>
      </c>
      <c r="Y16" s="42"/>
      <c r="Z16" s="43" t="n">
        <v>631</v>
      </c>
      <c r="AA16" s="43" t="s">
        <v>627</v>
      </c>
    </row>
    <row r="17" customFormat="false" ht="22.35" hidden="false" customHeight="false" outlineLevel="0" collapsed="false">
      <c r="A17" s="27" t="s">
        <v>627</v>
      </c>
      <c r="B17" s="27" t="s"/>
      <c r="C17" s="45" t="s">
        <v>28</v>
      </c>
      <c r="D17" s="45" t="s">
        <v>28</v>
      </c>
      <c r="E17" s="30" t="s">
        <v>28</v>
      </c>
      <c r="F17" s="31" t="s">
        <v>28</v>
      </c>
      <c r="G17" s="44"/>
      <c r="H17" s="77"/>
      <c r="I17" s="33"/>
      <c r="J17" s="34"/>
      <c r="K17" s="34"/>
      <c r="L17" s="34"/>
      <c r="M17" s="34"/>
      <c r="N17" s="34"/>
      <c r="O17" s="34"/>
      <c r="P17" s="35"/>
      <c r="Q17" s="37" t="s">
        <v>628</v>
      </c>
      <c r="R17" s="37" t="s">
        <v>629</v>
      </c>
      <c r="S17" s="46" t="n">
        <v>10</v>
      </c>
      <c r="T17" s="38" t="n">
        <v>10793.5</v>
      </c>
      <c r="U17" s="46"/>
      <c r="V17" s="39"/>
      <c r="W17" s="107" t="n">
        <f aca="false">SUM(E17,S17)</f>
        <v>10</v>
      </c>
      <c r="X17" s="108" t="n">
        <f aca="false">SUM(F17,T17)</f>
        <v>10793.5</v>
      </c>
      <c r="Y17" s="42"/>
      <c r="Z17" s="43" t="n">
        <v>638</v>
      </c>
      <c r="AA17" s="43" t="s">
        <v>630</v>
      </c>
    </row>
    <row r="18" customFormat="false" ht="22.35" hidden="false" customHeight="false" outlineLevel="0" collapsed="false">
      <c r="A18" s="27" t="s">
        <v>630</v>
      </c>
      <c r="B18" s="27" t="s"/>
      <c r="C18" s="45" t="s">
        <v>28</v>
      </c>
      <c r="D18" s="44" t="s">
        <v>28</v>
      </c>
      <c r="E18" s="30" t="s">
        <v>28</v>
      </c>
      <c r="F18" s="31" t="s">
        <v>28</v>
      </c>
      <c r="G18" s="44"/>
      <c r="H18" s="77"/>
      <c r="I18" s="33"/>
      <c r="J18" s="34"/>
      <c r="K18" s="34"/>
      <c r="L18" s="34"/>
      <c r="M18" s="34"/>
      <c r="N18" s="34"/>
      <c r="O18" s="34"/>
      <c r="P18" s="35"/>
      <c r="Q18" s="36" t="s">
        <v>631</v>
      </c>
      <c r="R18" s="37" t="s">
        <v>632</v>
      </c>
      <c r="S18" s="46" t="n">
        <v>20</v>
      </c>
      <c r="T18" s="38" t="n">
        <v>24955.42</v>
      </c>
      <c r="U18" s="46"/>
      <c r="V18" s="39"/>
      <c r="W18" s="107" t="n">
        <f aca="false">SUM(E18,S18)</f>
        <v>20</v>
      </c>
      <c r="X18" s="108" t="n">
        <f aca="false">SUM(F18,T18)</f>
        <v>24955.42</v>
      </c>
      <c r="Y18" s="42"/>
      <c r="Z18" s="43" t="n">
        <v>644</v>
      </c>
      <c r="AA18" s="43" t="s">
        <v>633</v>
      </c>
    </row>
    <row r="19" customFormat="false" ht="22.35" hidden="false" customHeight="false" outlineLevel="0" collapsed="false">
      <c r="A19" s="27" t="s">
        <v>634</v>
      </c>
      <c r="B19" s="27" t="s"/>
      <c r="C19" s="45" t="s">
        <v>28</v>
      </c>
      <c r="D19" s="44" t="s">
        <v>28</v>
      </c>
      <c r="E19" s="30" t="s">
        <v>28</v>
      </c>
      <c r="F19" s="31" t="s">
        <v>28</v>
      </c>
      <c r="G19" s="44"/>
      <c r="H19" s="77"/>
      <c r="I19" s="33"/>
      <c r="J19" s="34"/>
      <c r="K19" s="34"/>
      <c r="L19" s="34"/>
      <c r="M19" s="34"/>
      <c r="N19" s="34"/>
      <c r="O19" s="34"/>
      <c r="P19" s="35"/>
      <c r="Q19" s="36" t="s">
        <v>635</v>
      </c>
      <c r="R19" s="37" t="s">
        <v>636</v>
      </c>
      <c r="S19" s="46" t="n">
        <v>17</v>
      </c>
      <c r="T19" s="38" t="n">
        <v>22421.75</v>
      </c>
      <c r="U19" s="46"/>
      <c r="V19" s="39"/>
      <c r="W19" s="107" t="n">
        <f aca="false">SUM(E19,S19)</f>
        <v>17</v>
      </c>
      <c r="X19" s="108" t="n">
        <f aca="false">SUM(F19,T19)</f>
        <v>22421.75</v>
      </c>
      <c r="Y19" s="42"/>
      <c r="Z19" s="43" t="n">
        <v>649</v>
      </c>
      <c r="AA19" s="43" t="s">
        <v>637</v>
      </c>
    </row>
    <row r="20" customFormat="false" ht="22.35" hidden="false" customHeight="false" outlineLevel="0" collapsed="false">
      <c r="A20" s="27" t="s">
        <v>637</v>
      </c>
      <c r="B20" s="27" t="s"/>
      <c r="C20" s="45" t="s">
        <v>28</v>
      </c>
      <c r="D20" s="44" t="s">
        <v>28</v>
      </c>
      <c r="E20" s="30" t="s">
        <v>28</v>
      </c>
      <c r="F20" s="31" t="s">
        <v>28</v>
      </c>
      <c r="G20" s="44"/>
      <c r="H20" s="77"/>
      <c r="I20" s="33"/>
      <c r="J20" s="34"/>
      <c r="K20" s="34"/>
      <c r="L20" s="34"/>
      <c r="M20" s="34"/>
      <c r="N20" s="34"/>
      <c r="O20" s="34"/>
      <c r="P20" s="35"/>
      <c r="Q20" s="97" t="s">
        <v>638</v>
      </c>
      <c r="R20" s="97" t="s">
        <v>639</v>
      </c>
      <c r="S20" s="46" t="n">
        <v>26</v>
      </c>
      <c r="T20" s="38" t="n">
        <v>32343.62</v>
      </c>
      <c r="U20" s="46"/>
      <c r="V20" s="39"/>
      <c r="W20" s="107" t="n">
        <f aca="false">SUM(E20,S20)</f>
        <v>26</v>
      </c>
      <c r="X20" s="108" t="n">
        <f aca="false">SUM(F20,T20)</f>
        <v>32343.62</v>
      </c>
      <c r="Y20" s="42"/>
      <c r="Z20" s="43" t="n">
        <v>657</v>
      </c>
      <c r="AA20" s="43" t="s">
        <v>640</v>
      </c>
    </row>
    <row r="21" customFormat="false" ht="22.35" hidden="false" customHeight="false" outlineLevel="0" collapsed="false">
      <c r="A21" s="27" t="s">
        <v>640</v>
      </c>
      <c r="B21" s="27" t="s"/>
      <c r="C21" s="45" t="s">
        <v>28</v>
      </c>
      <c r="D21" s="44" t="s">
        <v>28</v>
      </c>
      <c r="E21" s="30" t="s">
        <v>28</v>
      </c>
      <c r="F21" s="31" t="s">
        <v>28</v>
      </c>
      <c r="G21" s="44"/>
      <c r="H21" s="77"/>
      <c r="I21" s="33"/>
      <c r="J21" s="34"/>
      <c r="K21" s="34"/>
      <c r="L21" s="34"/>
      <c r="M21" s="34"/>
      <c r="N21" s="34"/>
      <c r="O21" s="34"/>
      <c r="P21" s="35"/>
      <c r="Q21" s="97" t="s">
        <v>641</v>
      </c>
      <c r="R21" s="37" t="s">
        <v>642</v>
      </c>
      <c r="S21" s="46" t="n">
        <v>17</v>
      </c>
      <c r="T21" s="38" t="n">
        <v>22605.79</v>
      </c>
      <c r="U21" s="46"/>
      <c r="V21" s="39"/>
      <c r="W21" s="107" t="n">
        <f aca="false">SUM(E21,S21)</f>
        <v>17</v>
      </c>
      <c r="X21" s="108" t="n">
        <f aca="false">SUM(F21,T21)</f>
        <v>22605.79</v>
      </c>
      <c r="Y21" s="42"/>
      <c r="Z21" s="43" t="n">
        <v>662</v>
      </c>
      <c r="AA21" s="43" t="s">
        <v>643</v>
      </c>
    </row>
    <row r="22" customFormat="false" ht="22.35" hidden="false" customHeight="false" outlineLevel="0" collapsed="false">
      <c r="A22" s="27" t="s">
        <v>643</v>
      </c>
      <c r="B22" s="27" t="s"/>
      <c r="C22" s="45" t="s">
        <v>28</v>
      </c>
      <c r="D22" s="44" t="s">
        <v>28</v>
      </c>
      <c r="E22" s="30" t="s">
        <v>28</v>
      </c>
      <c r="F22" s="31" t="s">
        <v>28</v>
      </c>
      <c r="G22" s="44"/>
      <c r="H22" s="77"/>
      <c r="I22" s="33"/>
      <c r="J22" s="34"/>
      <c r="K22" s="34"/>
      <c r="L22" s="34"/>
      <c r="M22" s="34"/>
      <c r="N22" s="34"/>
      <c r="O22" s="34"/>
      <c r="P22" s="35"/>
      <c r="Q22" s="37" t="s">
        <v>644</v>
      </c>
      <c r="R22" s="37" t="s">
        <v>645</v>
      </c>
      <c r="S22" s="46" t="n">
        <v>20</v>
      </c>
      <c r="T22" s="38" t="n">
        <v>24546.54</v>
      </c>
      <c r="U22" s="46"/>
      <c r="V22" s="39"/>
      <c r="W22" s="107" t="n">
        <f aca="false">SUM(E22,S22)</f>
        <v>20</v>
      </c>
      <c r="X22" s="108" t="n">
        <f aca="false">SUM(F22,T22)</f>
        <v>24546.54</v>
      </c>
      <c r="Y22" s="42"/>
      <c r="Z22" s="43" t="n">
        <v>668</v>
      </c>
      <c r="AA22" s="43" t="s">
        <v>646</v>
      </c>
    </row>
    <row r="23" customFormat="false" ht="22.35" hidden="false" customHeight="false" outlineLevel="0" collapsed="false">
      <c r="A23" s="27" t="s">
        <v>646</v>
      </c>
      <c r="B23" s="27" t="s"/>
      <c r="C23" s="45" t="s">
        <v>28</v>
      </c>
      <c r="D23" s="44" t="s">
        <v>28</v>
      </c>
      <c r="E23" s="30" t="s">
        <v>28</v>
      </c>
      <c r="F23" s="31" t="s">
        <v>28</v>
      </c>
      <c r="G23" s="44"/>
      <c r="H23" s="77"/>
      <c r="I23" s="33"/>
      <c r="J23" s="34"/>
      <c r="K23" s="34"/>
      <c r="L23" s="34"/>
      <c r="M23" s="34"/>
      <c r="N23" s="34"/>
      <c r="O23" s="34"/>
      <c r="P23" s="35"/>
      <c r="Q23" s="37" t="s">
        <v>647</v>
      </c>
      <c r="R23" s="37" t="s">
        <v>648</v>
      </c>
      <c r="S23" s="61" t="n">
        <v>15</v>
      </c>
      <c r="T23" s="62" t="n">
        <v>18589.39</v>
      </c>
      <c r="U23" s="61"/>
      <c r="V23" s="63"/>
      <c r="W23" s="107" t="n">
        <f aca="false">SUM(E23,S23)</f>
        <v>15</v>
      </c>
      <c r="X23" s="108" t="n">
        <f aca="false">SUM(F23,T23)</f>
        <v>18589.39</v>
      </c>
      <c r="Y23" s="42"/>
      <c r="Z23" s="43" t="n">
        <v>674</v>
      </c>
      <c r="AA23" s="43" t="s">
        <v>649</v>
      </c>
    </row>
    <row r="24" customFormat="false" ht="19.7" hidden="false" customHeight="false" outlineLevel="0" collapsed="false">
      <c r="A24" s="85" t="s">
        <v>96</v>
      </c>
      <c r="B24" s="85" t="s"/>
      <c r="C24" s="85"/>
      <c r="D24" s="85"/>
      <c r="E24" s="86" t="n">
        <f aca="false">SUM(E6:E23)</f>
        <v>5</v>
      </c>
      <c r="F24" s="87" t="n">
        <f aca="false">SUM(F6:F23)</f>
        <v>2400</v>
      </c>
      <c r="G24" s="88"/>
      <c r="H24" s="89"/>
      <c r="I24" s="90" t="s">
        <v>96</v>
      </c>
      <c r="J24" s="90"/>
      <c r="K24" s="90"/>
      <c r="L24" s="90"/>
      <c r="M24" s="88"/>
      <c r="N24" s="88"/>
      <c r="O24" s="88"/>
      <c r="P24" s="100"/>
      <c r="Q24" s="110" t="s">
        <v>96</v>
      </c>
      <c r="R24" s="110"/>
      <c r="S24" s="111" t="n">
        <f aca="false">SUM(S6:S23)</f>
        <v>342</v>
      </c>
      <c r="T24" s="112" t="n">
        <f aca="false">SUM(T6:T23)</f>
        <v>444003.56</v>
      </c>
      <c r="U24" s="113" t="n">
        <f aca="false">SUM(U6:U23)</f>
        <v>5</v>
      </c>
      <c r="V24" s="114" t="n">
        <f aca="false">SUM(V6:V23)</f>
        <v>0</v>
      </c>
      <c r="W24" s="115" t="n">
        <f aca="false">SUM(W6:W23)</f>
        <v>347</v>
      </c>
      <c r="X24" s="116" t="n">
        <f aca="false">SUM(X6:X23)</f>
        <v>446403.56</v>
      </c>
      <c r="Y24" s="117"/>
      <c r="Z24" s="117"/>
      <c r="AA24" s="117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104"/>
      <c r="X26" s="2"/>
      <c r="Y26" s="2"/>
      <c r="Z26" s="2"/>
      <c r="AA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</sheetData>
  <mergeCells count="30">
    <mergeCell ref="A1:AA1"/>
    <mergeCell ref="A3:A5"/>
    <mergeCell ref="C3:H3"/>
    <mergeCell ref="I3:P3"/>
    <mergeCell ref="Q3:V3"/>
    <mergeCell ref="W3:X3"/>
    <mergeCell ref="Y3:Y5"/>
    <mergeCell ref="Z3:Z5"/>
    <mergeCell ref="AA3:AA5"/>
    <mergeCell ref="C4:C5"/>
    <mergeCell ref="D4:D5"/>
    <mergeCell ref="E4:E5"/>
    <mergeCell ref="F4:F5"/>
    <mergeCell ref="G4:H4"/>
    <mergeCell ref="I4:J5"/>
    <mergeCell ref="K4:K5"/>
    <mergeCell ref="L4:L5"/>
    <mergeCell ref="M4:M5"/>
    <mergeCell ref="N4:N5"/>
    <mergeCell ref="O4:P4"/>
    <mergeCell ref="Q4:Q5"/>
    <mergeCell ref="R4:R5"/>
    <mergeCell ref="S4:S5"/>
    <mergeCell ref="T4:T5"/>
    <mergeCell ref="U4:V4"/>
    <mergeCell ref="W4:W5"/>
    <mergeCell ref="X4:X5"/>
    <mergeCell ref="A24:D24"/>
    <mergeCell ref="I24:L24"/>
    <mergeCell ref="Q24:R24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>
  <sheetPr filterMode="false">
    <outlinePr summaryBelow="0"/>
    <pageSetUpPr fitToPage="true"/>
  </sheetPr>
  <dimension ref="A1:AA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63"/>
    <col collapsed="false" customWidth="true" hidden="false" outlineLevel="0" style="0" width="18.63" min="2" max="2"/>
    <col collapsed="false" customWidth="true" hidden="false" outlineLevel="0" max="7" min="7" style="0" width="14.63"/>
    <col collapsed="false" customWidth="true" hidden="false" outlineLevel="0" max="8" min="8" style="0" width="17.5"/>
    <col collapsed="false" customWidth="false" hidden="true" outlineLevel="0" max="16" min="9" style="0" width="12.63"/>
    <col collapsed="false" customWidth="true" hidden="false" outlineLevel="0" max="23" min="23" style="0" width="14.88"/>
    <col collapsed="false" customWidth="true" hidden="false" outlineLevel="0" max="24" min="24" style="0" width="12.5"/>
  </cols>
  <sheetData>
    <row r="1" customFormat="false" ht="26.1" hidden="false" customHeight="false" outlineLevel="0" collapsed="false">
      <c r="A1" s="1" t="s">
        <v>650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2.35" hidden="false" customHeight="true" outlineLevel="0" collapsed="false">
      <c r="A3" s="3" t="s">
        <v>1</v>
      </c>
      <c r="B3" s="3" t="inlineStr">
        <is>
          <t>ข้อมูลกฎหมาย</t>
        </is>
      </c>
      <c r="C3" s="4" t="s">
        <v>2</v>
      </c>
      <c r="D3" s="4"/>
      <c r="E3" s="4"/>
      <c r="F3" s="4"/>
      <c r="G3" s="4"/>
      <c r="H3" s="4"/>
      <c r="I3" s="5" t="s">
        <v>3</v>
      </c>
      <c r="J3" s="5"/>
      <c r="K3" s="5"/>
      <c r="L3" s="5"/>
      <c r="M3" s="5"/>
      <c r="N3" s="5"/>
      <c r="O3" s="5"/>
      <c r="P3" s="5"/>
      <c r="Q3" s="6" t="s">
        <v>4</v>
      </c>
      <c r="R3" s="6"/>
      <c r="S3" s="6"/>
      <c r="T3" s="6"/>
      <c r="U3" s="6"/>
      <c r="V3" s="6"/>
      <c r="W3" s="7" t="s">
        <v>5</v>
      </c>
      <c r="X3" s="7"/>
      <c r="Y3" s="8" t="s">
        <v>6</v>
      </c>
      <c r="Z3" s="9" t="s">
        <v>7</v>
      </c>
      <c r="AA3" s="10" t="s">
        <v>8</v>
      </c>
    </row>
    <row r="4" customFormat="false" ht="22.35" hidden="false" customHeight="false" outlineLevel="0" collapsed="false">
      <c r="A4" s="3"/>
      <c r="B4" s="3" t="inlineStr">
        <is>
          <t>กฎหมาย</t>
        </is>
      </c>
      <c r="C4" s="11" t="s">
        <v>9</v>
      </c>
      <c r="D4" s="12" t="s">
        <v>10</v>
      </c>
      <c r="E4" s="12" t="s">
        <v>11</v>
      </c>
      <c r="F4" s="13" t="s">
        <v>12</v>
      </c>
      <c r="G4" s="14" t="s">
        <v>13</v>
      </c>
      <c r="H4" s="14"/>
      <c r="I4" s="15" t="s">
        <v>14</v>
      </c>
      <c r="J4" s="15"/>
      <c r="K4" s="16" t="s">
        <v>9</v>
      </c>
      <c r="L4" s="16" t="s">
        <v>10</v>
      </c>
      <c r="M4" s="17" t="s">
        <v>11</v>
      </c>
      <c r="N4" s="18" t="s">
        <v>12</v>
      </c>
      <c r="O4" s="19" t="s">
        <v>13</v>
      </c>
      <c r="P4" s="19"/>
      <c r="Q4" s="20" t="s">
        <v>9</v>
      </c>
      <c r="R4" s="21" t="s">
        <v>10</v>
      </c>
      <c r="S4" s="22" t="s">
        <v>11</v>
      </c>
      <c r="T4" s="21" t="s">
        <v>12</v>
      </c>
      <c r="U4" s="23" t="s">
        <v>15</v>
      </c>
      <c r="V4" s="23"/>
      <c r="W4" s="24" t="s">
        <v>16</v>
      </c>
      <c r="X4" s="25" t="s">
        <v>17</v>
      </c>
      <c r="Y4" s="8"/>
      <c r="Z4" s="9"/>
      <c r="AA4" s="9"/>
    </row>
    <row r="5" customFormat="false" ht="19.7" hidden="false" customHeight="false" outlineLevel="0" collapsed="false">
      <c r="A5" s="3"/>
      <c r="B5" s="3"/>
      <c r="C5" s="11"/>
      <c r="D5" s="12"/>
      <c r="E5" s="12"/>
      <c r="F5" s="12"/>
      <c r="G5" s="26" t="s">
        <v>11</v>
      </c>
      <c r="H5" s="14" t="s">
        <v>18</v>
      </c>
      <c r="I5" s="15"/>
      <c r="J5" s="15"/>
      <c r="K5" s="16"/>
      <c r="L5" s="16"/>
      <c r="M5" s="16"/>
      <c r="N5" s="16"/>
      <c r="O5" s="17" t="s">
        <v>11</v>
      </c>
      <c r="P5" s="19" t="s">
        <v>18</v>
      </c>
      <c r="Q5" s="20"/>
      <c r="R5" s="21"/>
      <c r="S5" s="21"/>
      <c r="T5" s="21"/>
      <c r="U5" s="22" t="s">
        <v>11</v>
      </c>
      <c r="V5" s="23" t="s">
        <v>18</v>
      </c>
      <c r="W5" s="24"/>
      <c r="X5" s="25"/>
      <c r="Y5" s="8"/>
      <c r="Z5" s="9"/>
      <c r="AA5" s="9"/>
    </row>
    <row r="6" customFormat="false" ht="43.25" hidden="false" customHeight="false" outlineLevel="0" collapsed="false">
      <c r="A6" s="27" t="s">
        <v>651</v>
      </c>
      <c r="B6" s="27" t="s"/>
      <c r="C6" s="45" t="s">
        <v>28</v>
      </c>
      <c r="D6" s="44" t="s">
        <v>28</v>
      </c>
      <c r="E6" s="30" t="s">
        <v>28</v>
      </c>
      <c r="F6" s="31" t="s">
        <v>28</v>
      </c>
      <c r="G6" s="44"/>
      <c r="H6" s="77"/>
      <c r="I6" s="33"/>
      <c r="J6" s="34"/>
      <c r="K6" s="34"/>
      <c r="L6" s="34"/>
      <c r="M6" s="34"/>
      <c r="N6" s="34"/>
      <c r="O6" s="34"/>
      <c r="P6" s="35"/>
      <c r="Q6" s="37" t="s">
        <v>652</v>
      </c>
      <c r="R6" s="37" t="s">
        <v>653</v>
      </c>
      <c r="S6" s="46" t="n">
        <v>14</v>
      </c>
      <c r="T6" s="38" t="n">
        <v>15347.5</v>
      </c>
      <c r="U6" s="46" t="n">
        <v>1</v>
      </c>
      <c r="V6" s="106" t="s">
        <v>654</v>
      </c>
      <c r="W6" s="107" t="n">
        <f aca="false">SUM(E6,S6)</f>
        <v>14</v>
      </c>
      <c r="X6" s="108" t="n">
        <f aca="false">SUM(F6,T6)</f>
        <v>15347.5</v>
      </c>
      <c r="Y6" s="109"/>
      <c r="Z6" s="43" t="n">
        <v>678</v>
      </c>
      <c r="AA6" s="43" t="s">
        <v>655</v>
      </c>
    </row>
    <row r="7" customFormat="false" ht="22.35" hidden="false" customHeight="false" outlineLevel="0" collapsed="false">
      <c r="A7" s="27" t="s">
        <v>656</v>
      </c>
      <c r="B7" s="27" t="s"/>
      <c r="C7" s="28" t="s">
        <v>657</v>
      </c>
      <c r="D7" s="44" t="s">
        <v>28</v>
      </c>
      <c r="E7" s="30" t="n">
        <v>1</v>
      </c>
      <c r="F7" s="31" t="n">
        <v>2500</v>
      </c>
      <c r="G7" s="45"/>
      <c r="H7" s="78"/>
      <c r="I7" s="33"/>
      <c r="J7" s="34"/>
      <c r="K7" s="34"/>
      <c r="L7" s="34"/>
      <c r="M7" s="34"/>
      <c r="N7" s="34"/>
      <c r="O7" s="34"/>
      <c r="P7" s="82"/>
      <c r="Q7" s="36" t="s">
        <v>658</v>
      </c>
      <c r="R7" s="37" t="s">
        <v>659</v>
      </c>
      <c r="S7" s="46" t="n">
        <v>15</v>
      </c>
      <c r="T7" s="38" t="n">
        <v>20208.5</v>
      </c>
      <c r="U7" s="46"/>
      <c r="V7" s="39"/>
      <c r="W7" s="107" t="n">
        <f aca="false">SUM(E7,S7)</f>
        <v>16</v>
      </c>
      <c r="X7" s="108" t="n">
        <f aca="false">SUM(F7,T7)</f>
        <v>22708.5</v>
      </c>
      <c r="Y7" s="42"/>
      <c r="Z7" s="43" t="n">
        <v>686</v>
      </c>
      <c r="AA7" s="43" t="s">
        <v>660</v>
      </c>
    </row>
    <row r="8" customFormat="false" ht="22.35" hidden="false" customHeight="false" outlineLevel="0" collapsed="false">
      <c r="A8" s="27" t="s">
        <v>660</v>
      </c>
      <c r="B8" s="27" t="s"/>
      <c r="C8" s="28" t="s">
        <v>661</v>
      </c>
      <c r="D8" s="44" t="s">
        <v>28</v>
      </c>
      <c r="E8" s="30" t="n">
        <v>1</v>
      </c>
      <c r="F8" s="31" t="n">
        <v>2500</v>
      </c>
      <c r="G8" s="44"/>
      <c r="H8" s="77"/>
      <c r="I8" s="33"/>
      <c r="J8" s="34"/>
      <c r="K8" s="34"/>
      <c r="L8" s="34"/>
      <c r="M8" s="34"/>
      <c r="N8" s="34"/>
      <c r="O8" s="34"/>
      <c r="P8" s="35"/>
      <c r="Q8" s="37" t="s">
        <v>662</v>
      </c>
      <c r="R8" s="37" t="s">
        <v>663</v>
      </c>
      <c r="S8" s="46" t="n">
        <v>8</v>
      </c>
      <c r="T8" s="38" t="n">
        <v>8752</v>
      </c>
      <c r="U8" s="46"/>
      <c r="V8" s="39"/>
      <c r="W8" s="107" t="n">
        <f aca="false">SUM(E8,S8)</f>
        <v>9</v>
      </c>
      <c r="X8" s="108" t="n">
        <f aca="false">SUM(F8,T8)</f>
        <v>11252</v>
      </c>
      <c r="Y8" s="42"/>
      <c r="Z8" s="43" t="n">
        <v>694</v>
      </c>
      <c r="AA8" s="43" t="s">
        <v>664</v>
      </c>
    </row>
    <row r="9" customFormat="false" ht="22.35" hidden="false" customHeight="false" outlineLevel="0" collapsed="false">
      <c r="A9" s="27" t="s">
        <v>665</v>
      </c>
      <c r="B9" s="27" t="s"/>
      <c r="C9" s="45" t="s">
        <v>28</v>
      </c>
      <c r="D9" s="44" t="s">
        <v>28</v>
      </c>
      <c r="E9" s="30" t="s">
        <v>28</v>
      </c>
      <c r="F9" s="31" t="s">
        <v>28</v>
      </c>
      <c r="G9" s="44"/>
      <c r="H9" s="77"/>
      <c r="I9" s="33"/>
      <c r="J9" s="34"/>
      <c r="K9" s="34"/>
      <c r="L9" s="34"/>
      <c r="M9" s="34"/>
      <c r="N9" s="34"/>
      <c r="O9" s="34"/>
      <c r="P9" s="35"/>
      <c r="Q9" s="94" t="s">
        <v>666</v>
      </c>
      <c r="R9" s="37" t="s">
        <v>667</v>
      </c>
      <c r="S9" s="46" t="n">
        <v>10</v>
      </c>
      <c r="T9" s="38" t="n">
        <v>10950</v>
      </c>
      <c r="U9" s="46"/>
      <c r="V9" s="39"/>
      <c r="W9" s="107" t="n">
        <f aca="false">SUM(E9,S9)</f>
        <v>10</v>
      </c>
      <c r="X9" s="108" t="n">
        <f aca="false">SUM(F9,T9)</f>
        <v>10950</v>
      </c>
      <c r="Y9" s="42"/>
      <c r="Z9" s="43" t="n">
        <v>699</v>
      </c>
      <c r="AA9" s="43" t="s">
        <v>668</v>
      </c>
    </row>
    <row r="10" customFormat="false" ht="22.35" hidden="false" customHeight="false" outlineLevel="0" collapsed="false">
      <c r="A10" s="27" t="s">
        <v>668</v>
      </c>
      <c r="B10" s="27" t="s"/>
      <c r="C10" s="28" t="s">
        <v>669</v>
      </c>
      <c r="D10" s="44" t="s">
        <v>28</v>
      </c>
      <c r="E10" s="30" t="n">
        <v>1</v>
      </c>
      <c r="F10" s="31" t="n">
        <v>1400</v>
      </c>
      <c r="G10" s="44"/>
      <c r="H10" s="77"/>
      <c r="I10" s="33"/>
      <c r="J10" s="34"/>
      <c r="K10" s="34"/>
      <c r="L10" s="34"/>
      <c r="M10" s="34"/>
      <c r="N10" s="34"/>
      <c r="O10" s="34"/>
      <c r="P10" s="35"/>
      <c r="Q10" s="37" t="s">
        <v>670</v>
      </c>
      <c r="R10" s="37" t="s">
        <v>671</v>
      </c>
      <c r="S10" s="46" t="n">
        <v>6</v>
      </c>
      <c r="T10" s="38" t="n">
        <v>6948</v>
      </c>
      <c r="U10" s="46"/>
      <c r="V10" s="39"/>
      <c r="W10" s="107" t="n">
        <f aca="false">SUM(E10,S10)</f>
        <v>7</v>
      </c>
      <c r="X10" s="108" t="n">
        <f aca="false">SUM(F10,T10)</f>
        <v>8348</v>
      </c>
      <c r="Y10" s="42"/>
      <c r="Z10" s="43" t="n">
        <v>705</v>
      </c>
      <c r="AA10" s="43" t="s">
        <v>672</v>
      </c>
    </row>
    <row r="11" customFormat="false" ht="22.35" hidden="false" customHeight="false" outlineLevel="0" collapsed="false">
      <c r="A11" s="27" t="s">
        <v>672</v>
      </c>
      <c r="B11" s="27" t="s"/>
      <c r="C11" s="45" t="s">
        <v>28</v>
      </c>
      <c r="D11" s="44" t="s">
        <v>28</v>
      </c>
      <c r="E11" s="30" t="s">
        <v>28</v>
      </c>
      <c r="F11" s="31" t="s">
        <v>28</v>
      </c>
      <c r="G11" s="44"/>
      <c r="H11" s="77"/>
      <c r="I11" s="33"/>
      <c r="J11" s="34"/>
      <c r="K11" s="34"/>
      <c r="L11" s="34"/>
      <c r="M11" s="34"/>
      <c r="N11" s="34"/>
      <c r="O11" s="34"/>
      <c r="P11" s="35"/>
      <c r="Q11" s="37" t="s">
        <v>673</v>
      </c>
      <c r="R11" s="37" t="s">
        <v>674</v>
      </c>
      <c r="S11" s="46" t="n">
        <v>6</v>
      </c>
      <c r="T11" s="38" t="n">
        <v>9121.7</v>
      </c>
      <c r="U11" s="46"/>
      <c r="V11" s="39"/>
      <c r="W11" s="107" t="n">
        <f aca="false">SUM(E11,S11)</f>
        <v>6</v>
      </c>
      <c r="X11" s="108" t="n">
        <f aca="false">SUM(F11,T11)</f>
        <v>9121.7</v>
      </c>
      <c r="Y11" s="42"/>
      <c r="Z11" s="43" t="n">
        <v>713</v>
      </c>
      <c r="AA11" s="43" t="s">
        <v>675</v>
      </c>
    </row>
    <row r="12" customFormat="false" ht="22.35" hidden="false" customHeight="false" outlineLevel="0" collapsed="false">
      <c r="A12" s="27" t="s">
        <v>675</v>
      </c>
      <c r="B12" s="27" t="s"/>
      <c r="C12" s="28" t="s">
        <v>676</v>
      </c>
      <c r="D12" s="44" t="s">
        <v>28</v>
      </c>
      <c r="E12" s="30" t="n">
        <v>1</v>
      </c>
      <c r="F12" s="31" t="n">
        <v>200</v>
      </c>
      <c r="G12" s="44"/>
      <c r="H12" s="77"/>
      <c r="I12" s="33"/>
      <c r="J12" s="34"/>
      <c r="K12" s="34"/>
      <c r="L12" s="34"/>
      <c r="M12" s="34"/>
      <c r="N12" s="34"/>
      <c r="O12" s="34"/>
      <c r="P12" s="35"/>
      <c r="Q12" s="37" t="s">
        <v>677</v>
      </c>
      <c r="R12" s="37" t="s">
        <v>678</v>
      </c>
      <c r="S12" s="46" t="n">
        <v>9</v>
      </c>
      <c r="T12" s="38" t="n">
        <v>11590</v>
      </c>
      <c r="U12" s="46"/>
      <c r="V12" s="39"/>
      <c r="W12" s="107" t="n">
        <f aca="false">SUM(E12,S12)</f>
        <v>10</v>
      </c>
      <c r="X12" s="108" t="n">
        <f aca="false">SUM(F12,T12)</f>
        <v>11790</v>
      </c>
      <c r="Y12" s="42"/>
      <c r="Z12" s="43" t="n">
        <v>716</v>
      </c>
      <c r="AA12" s="43" t="s">
        <v>679</v>
      </c>
    </row>
    <row r="13" customFormat="false" ht="22.35" hidden="false" customHeight="false" outlineLevel="0" collapsed="false">
      <c r="A13" s="27" t="s">
        <v>679</v>
      </c>
      <c r="B13" s="27" t="s"/>
      <c r="C13" s="45" t="s">
        <v>28</v>
      </c>
      <c r="D13" s="44" t="s">
        <v>28</v>
      </c>
      <c r="E13" s="30" t="s">
        <v>28</v>
      </c>
      <c r="F13" s="31" t="s">
        <v>28</v>
      </c>
      <c r="G13" s="44"/>
      <c r="H13" s="77"/>
      <c r="I13" s="33"/>
      <c r="J13" s="34"/>
      <c r="K13" s="34"/>
      <c r="L13" s="34"/>
      <c r="M13" s="34"/>
      <c r="N13" s="34"/>
      <c r="O13" s="34"/>
      <c r="P13" s="35"/>
      <c r="Q13" s="37" t="s">
        <v>680</v>
      </c>
      <c r="R13" s="37" t="s">
        <v>681</v>
      </c>
      <c r="S13" s="46" t="n">
        <v>7</v>
      </c>
      <c r="T13" s="38" t="n">
        <v>9147</v>
      </c>
      <c r="U13" s="46"/>
      <c r="V13" s="39"/>
      <c r="W13" s="107" t="n">
        <f aca="false">SUM(E13,S13)</f>
        <v>7</v>
      </c>
      <c r="X13" s="108" t="n">
        <f aca="false">SUM(F13,T13)</f>
        <v>9147</v>
      </c>
      <c r="Y13" s="42"/>
      <c r="Z13" s="43" t="n">
        <v>723</v>
      </c>
      <c r="AA13" s="43" t="s">
        <v>682</v>
      </c>
    </row>
    <row r="14" customFormat="false" ht="22.35" hidden="false" customHeight="false" outlineLevel="0" collapsed="false">
      <c r="A14" s="27" t="s">
        <v>683</v>
      </c>
      <c r="B14" s="27" t="s"/>
      <c r="C14" s="28" t="s">
        <v>684</v>
      </c>
      <c r="D14" s="44" t="s">
        <v>28</v>
      </c>
      <c r="E14" s="30" t="n">
        <v>1</v>
      </c>
      <c r="F14" s="31" t="n">
        <v>200</v>
      </c>
      <c r="G14" s="44"/>
      <c r="H14" s="77"/>
      <c r="I14" s="33"/>
      <c r="J14" s="34"/>
      <c r="K14" s="34"/>
      <c r="L14" s="48"/>
      <c r="M14" s="34"/>
      <c r="N14" s="34"/>
      <c r="O14" s="34"/>
      <c r="P14" s="35"/>
      <c r="Q14" s="37" t="s">
        <v>685</v>
      </c>
      <c r="R14" s="37" t="s">
        <v>686</v>
      </c>
      <c r="S14" s="46" t="n">
        <v>5</v>
      </c>
      <c r="T14" s="38" t="n">
        <v>6008</v>
      </c>
      <c r="U14" s="46"/>
      <c r="V14" s="39"/>
      <c r="W14" s="107" t="n">
        <f aca="false">SUM(E14,S14)</f>
        <v>6</v>
      </c>
      <c r="X14" s="108" t="n">
        <f aca="false">SUM(F14,T14)</f>
        <v>6208</v>
      </c>
      <c r="Y14" s="42"/>
      <c r="Z14" s="43" t="n">
        <v>729</v>
      </c>
      <c r="AA14" s="43" t="s">
        <v>687</v>
      </c>
    </row>
    <row r="15" customFormat="false" ht="22.35" hidden="false" customHeight="false" outlineLevel="0" collapsed="false">
      <c r="A15" s="27" t="s">
        <v>687</v>
      </c>
      <c r="B15" s="27" t="s"/>
      <c r="C15" s="45" t="s">
        <v>28</v>
      </c>
      <c r="D15" s="44" t="s">
        <v>28</v>
      </c>
      <c r="E15" s="30" t="s">
        <v>28</v>
      </c>
      <c r="F15" s="31" t="s">
        <v>28</v>
      </c>
      <c r="G15" s="44"/>
      <c r="H15" s="77"/>
      <c r="I15" s="33"/>
      <c r="J15" s="34"/>
      <c r="K15" s="34"/>
      <c r="L15" s="48"/>
      <c r="M15" s="34"/>
      <c r="N15" s="34"/>
      <c r="O15" s="34"/>
      <c r="P15" s="35"/>
      <c r="Q15" s="37" t="s">
        <v>688</v>
      </c>
      <c r="R15" s="37" t="s">
        <v>689</v>
      </c>
      <c r="S15" s="46" t="n">
        <v>3</v>
      </c>
      <c r="T15" s="38" t="n">
        <v>3315</v>
      </c>
      <c r="U15" s="46"/>
      <c r="V15" s="39"/>
      <c r="W15" s="107" t="n">
        <f aca="false">SUM(E15,S15)</f>
        <v>3</v>
      </c>
      <c r="X15" s="108" t="n">
        <f aca="false">SUM(F15,T15)</f>
        <v>3315</v>
      </c>
      <c r="Y15" s="42"/>
      <c r="Z15" s="43" t="n">
        <v>736</v>
      </c>
      <c r="AA15" s="43" t="s">
        <v>690</v>
      </c>
    </row>
    <row r="16" customFormat="false" ht="22.35" hidden="false" customHeight="false" outlineLevel="0" collapsed="false">
      <c r="A16" s="27" t="s">
        <v>690</v>
      </c>
      <c r="B16" s="27" t="s"/>
      <c r="C16" s="45" t="s">
        <v>28</v>
      </c>
      <c r="D16" s="44" t="s">
        <v>28</v>
      </c>
      <c r="E16" s="30" t="s">
        <v>28</v>
      </c>
      <c r="F16" s="31" t="s">
        <v>28</v>
      </c>
      <c r="G16" s="44"/>
      <c r="H16" s="77"/>
      <c r="I16" s="33"/>
      <c r="J16" s="34"/>
      <c r="K16" s="34"/>
      <c r="L16" s="34"/>
      <c r="M16" s="34"/>
      <c r="N16" s="34"/>
      <c r="O16" s="34"/>
      <c r="P16" s="35"/>
      <c r="Q16" s="37" t="s">
        <v>691</v>
      </c>
      <c r="R16" s="37" t="s">
        <v>692</v>
      </c>
      <c r="S16" s="46" t="n">
        <v>9</v>
      </c>
      <c r="T16" s="38" t="n">
        <v>10424.6</v>
      </c>
      <c r="U16" s="46"/>
      <c r="V16" s="39"/>
      <c r="W16" s="107" t="n">
        <f aca="false">SUM(E16,S16)</f>
        <v>9</v>
      </c>
      <c r="X16" s="108" t="n">
        <f aca="false">SUM(F16,T16)</f>
        <v>10424.6</v>
      </c>
      <c r="Y16" s="42"/>
      <c r="Z16" s="43" t="n">
        <v>740</v>
      </c>
      <c r="AA16" s="43" t="s">
        <v>693</v>
      </c>
    </row>
    <row r="17" customFormat="false" ht="22.35" hidden="false" customHeight="false" outlineLevel="0" collapsed="false">
      <c r="A17" s="27" t="s">
        <v>693</v>
      </c>
      <c r="B17" s="27" t="s"/>
      <c r="C17" s="28" t="s">
        <v>694</v>
      </c>
      <c r="D17" s="45" t="s">
        <v>28</v>
      </c>
      <c r="E17" s="30" t="n">
        <v>1</v>
      </c>
      <c r="F17" s="31" t="n">
        <v>200</v>
      </c>
      <c r="G17" s="44"/>
      <c r="H17" s="77"/>
      <c r="I17" s="33"/>
      <c r="J17" s="34"/>
      <c r="K17" s="34"/>
      <c r="L17" s="34"/>
      <c r="M17" s="34"/>
      <c r="N17" s="34"/>
      <c r="O17" s="34"/>
      <c r="P17" s="35"/>
      <c r="Q17" s="37" t="s">
        <v>695</v>
      </c>
      <c r="R17" s="37" t="s">
        <v>696</v>
      </c>
      <c r="S17" s="46" t="n">
        <v>6</v>
      </c>
      <c r="T17" s="38" t="n">
        <v>9963</v>
      </c>
      <c r="U17" s="46"/>
      <c r="V17" s="39"/>
      <c r="W17" s="107" t="n">
        <f aca="false">SUM(E17,S17)</f>
        <v>7</v>
      </c>
      <c r="X17" s="108" t="n">
        <f aca="false">SUM(F17,T17)</f>
        <v>10163</v>
      </c>
      <c r="Y17" s="42"/>
      <c r="Z17" s="43" t="n">
        <v>748</v>
      </c>
      <c r="AA17" s="43" t="s">
        <v>697</v>
      </c>
    </row>
    <row r="18" customFormat="false" ht="22.35" hidden="false" customHeight="false" outlineLevel="0" collapsed="false">
      <c r="A18" s="27" t="s">
        <v>697</v>
      </c>
      <c r="B18" s="27" t="s"/>
      <c r="C18" s="45" t="s">
        <v>28</v>
      </c>
      <c r="D18" s="44" t="s">
        <v>28</v>
      </c>
      <c r="E18" s="30" t="s">
        <v>28</v>
      </c>
      <c r="F18" s="31" t="s">
        <v>28</v>
      </c>
      <c r="G18" s="44"/>
      <c r="H18" s="77"/>
      <c r="I18" s="33"/>
      <c r="J18" s="34"/>
      <c r="K18" s="34"/>
      <c r="L18" s="34"/>
      <c r="M18" s="34"/>
      <c r="N18" s="34"/>
      <c r="O18" s="34"/>
      <c r="P18" s="35"/>
      <c r="Q18" s="36" t="s">
        <v>698</v>
      </c>
      <c r="R18" s="37" t="s">
        <v>699</v>
      </c>
      <c r="S18" s="46" t="n">
        <v>9</v>
      </c>
      <c r="T18" s="38" t="n">
        <v>11774.8</v>
      </c>
      <c r="U18" s="46"/>
      <c r="V18" s="39"/>
      <c r="W18" s="107" t="n">
        <f aca="false">SUM(E18,S18)</f>
        <v>9</v>
      </c>
      <c r="X18" s="108" t="n">
        <f aca="false">SUM(F18,T18)</f>
        <v>11774.8</v>
      </c>
      <c r="Y18" s="42"/>
      <c r="Z18" s="43" t="n">
        <v>753</v>
      </c>
      <c r="AA18" s="43" t="s">
        <v>700</v>
      </c>
    </row>
    <row r="19" customFormat="false" ht="22.35" hidden="false" customHeight="false" outlineLevel="0" collapsed="false">
      <c r="A19" s="27" t="s">
        <v>701</v>
      </c>
      <c r="B19" s="27" t="s"/>
      <c r="C19" s="28" t="s">
        <v>702</v>
      </c>
      <c r="D19" s="29" t="s">
        <v>703</v>
      </c>
      <c r="E19" s="30" t="n">
        <v>2</v>
      </c>
      <c r="F19" s="31" t="n">
        <v>4300</v>
      </c>
      <c r="G19" s="44"/>
      <c r="H19" s="77"/>
      <c r="I19" s="33"/>
      <c r="J19" s="34"/>
      <c r="K19" s="34"/>
      <c r="L19" s="34"/>
      <c r="M19" s="34"/>
      <c r="N19" s="34"/>
      <c r="O19" s="34"/>
      <c r="P19" s="35"/>
      <c r="Q19" s="36" t="s">
        <v>704</v>
      </c>
      <c r="R19" s="37" t="s">
        <v>705</v>
      </c>
      <c r="S19" s="46" t="n">
        <v>6</v>
      </c>
      <c r="T19" s="38" t="n">
        <v>6654</v>
      </c>
      <c r="U19" s="46"/>
      <c r="V19" s="39"/>
      <c r="W19" s="107" t="n">
        <f aca="false">SUM(E19,S19)</f>
        <v>8</v>
      </c>
      <c r="X19" s="108" t="n">
        <f aca="false">SUM(F19,T19)</f>
        <v>10954</v>
      </c>
      <c r="Y19" s="42"/>
      <c r="Z19" s="43" t="n">
        <v>762</v>
      </c>
      <c r="AA19" s="43" t="s">
        <v>706</v>
      </c>
    </row>
    <row r="20" customFormat="false" ht="22.35" hidden="false" customHeight="false" outlineLevel="0" collapsed="false">
      <c r="A20" s="27" t="s">
        <v>706</v>
      </c>
      <c r="B20" s="27" t="s"/>
      <c r="C20" s="45" t="s">
        <v>28</v>
      </c>
      <c r="D20" s="44" t="s">
        <v>28</v>
      </c>
      <c r="E20" s="30" t="s">
        <v>28</v>
      </c>
      <c r="F20" s="31" t="s">
        <v>28</v>
      </c>
      <c r="G20" s="44"/>
      <c r="H20" s="77"/>
      <c r="I20" s="33"/>
      <c r="J20" s="34"/>
      <c r="K20" s="34"/>
      <c r="L20" s="34"/>
      <c r="M20" s="34"/>
      <c r="N20" s="34"/>
      <c r="O20" s="34"/>
      <c r="P20" s="35"/>
      <c r="Q20" s="97" t="s">
        <v>707</v>
      </c>
      <c r="R20" s="97" t="s">
        <v>708</v>
      </c>
      <c r="S20" s="46" t="n">
        <v>18</v>
      </c>
      <c r="T20" s="38" t="n">
        <v>21364</v>
      </c>
      <c r="U20" s="46"/>
      <c r="V20" s="39"/>
      <c r="W20" s="107" t="n">
        <f aca="false">SUM(E20,S20)</f>
        <v>18</v>
      </c>
      <c r="X20" s="108" t="n">
        <f aca="false">SUM(F20,T20)</f>
        <v>21364</v>
      </c>
      <c r="Y20" s="42"/>
      <c r="Z20" s="43" t="n">
        <v>771</v>
      </c>
      <c r="AA20" s="43" t="s">
        <v>709</v>
      </c>
    </row>
    <row r="21" customFormat="false" ht="22.35" hidden="false" customHeight="false" outlineLevel="0" collapsed="false">
      <c r="A21" s="27" t="s">
        <v>709</v>
      </c>
      <c r="B21" s="27" t="s"/>
      <c r="C21" s="45" t="s">
        <v>28</v>
      </c>
      <c r="D21" s="44" t="s">
        <v>28</v>
      </c>
      <c r="E21" s="30" t="s">
        <v>28</v>
      </c>
      <c r="F21" s="31" t="s">
        <v>28</v>
      </c>
      <c r="G21" s="44"/>
      <c r="H21" s="77"/>
      <c r="I21" s="33"/>
      <c r="J21" s="34"/>
      <c r="K21" s="34"/>
      <c r="L21" s="34"/>
      <c r="M21" s="34"/>
      <c r="N21" s="34"/>
      <c r="O21" s="34"/>
      <c r="P21" s="35"/>
      <c r="Q21" s="97" t="s">
        <v>710</v>
      </c>
      <c r="R21" s="97" t="s">
        <v>711</v>
      </c>
      <c r="S21" s="46" t="n">
        <v>11</v>
      </c>
      <c r="T21" s="38" t="n">
        <v>12243</v>
      </c>
      <c r="U21" s="46"/>
      <c r="V21" s="39"/>
      <c r="W21" s="107" t="n">
        <f aca="false">SUM(E21,S21)</f>
        <v>11</v>
      </c>
      <c r="X21" s="108" t="n">
        <f aca="false">SUM(F21,T21)</f>
        <v>12243</v>
      </c>
      <c r="Y21" s="42"/>
      <c r="Z21" s="43" t="n">
        <v>779</v>
      </c>
      <c r="AA21" s="43" t="s">
        <v>712</v>
      </c>
    </row>
    <row r="22" customFormat="false" ht="22.35" hidden="false" customHeight="false" outlineLevel="0" collapsed="false">
      <c r="A22" s="27" t="s">
        <v>712</v>
      </c>
      <c r="B22" s="27" t="s"/>
      <c r="C22" s="28" t="s">
        <v>713</v>
      </c>
      <c r="D22" s="44" t="s">
        <v>28</v>
      </c>
      <c r="E22" s="30" t="n">
        <v>1</v>
      </c>
      <c r="F22" s="31" t="n">
        <v>200</v>
      </c>
      <c r="G22" s="44"/>
      <c r="H22" s="77"/>
      <c r="I22" s="33"/>
      <c r="J22" s="34"/>
      <c r="K22" s="34"/>
      <c r="L22" s="34"/>
      <c r="M22" s="34"/>
      <c r="N22" s="34"/>
      <c r="O22" s="34"/>
      <c r="P22" s="35"/>
      <c r="Q22" s="97" t="s">
        <v>714</v>
      </c>
      <c r="R22" s="97" t="s">
        <v>715</v>
      </c>
      <c r="S22" s="46" t="n">
        <v>12</v>
      </c>
      <c r="T22" s="38" t="n">
        <v>13479.4</v>
      </c>
      <c r="U22" s="46"/>
      <c r="V22" s="39"/>
      <c r="W22" s="107" t="n">
        <f aca="false">SUM(E22,S22)</f>
        <v>13</v>
      </c>
      <c r="X22" s="108" t="n">
        <f aca="false">SUM(F22,T22)</f>
        <v>13679.4</v>
      </c>
      <c r="Y22" s="42"/>
      <c r="Z22" s="43" t="n">
        <v>786</v>
      </c>
      <c r="AA22" s="43" t="s">
        <v>716</v>
      </c>
    </row>
    <row r="23" customFormat="false" ht="22.35" hidden="false" customHeight="false" outlineLevel="0" collapsed="false">
      <c r="A23" s="27" t="s">
        <v>716</v>
      </c>
      <c r="B23" s="27" t="s"/>
      <c r="C23" s="28" t="s">
        <v>717</v>
      </c>
      <c r="D23" s="44"/>
      <c r="E23" s="30" t="n">
        <v>1</v>
      </c>
      <c r="F23" s="31" t="n">
        <v>200</v>
      </c>
      <c r="G23" s="44"/>
      <c r="H23" s="77"/>
      <c r="I23" s="33"/>
      <c r="J23" s="34"/>
      <c r="K23" s="34"/>
      <c r="L23" s="34"/>
      <c r="M23" s="34"/>
      <c r="N23" s="34"/>
      <c r="O23" s="34"/>
      <c r="P23" s="35"/>
      <c r="Q23" s="97" t="s">
        <v>718</v>
      </c>
      <c r="R23" s="97" t="s">
        <v>719</v>
      </c>
      <c r="S23" s="46" t="n">
        <v>5</v>
      </c>
      <c r="T23" s="38" t="n">
        <v>5575</v>
      </c>
      <c r="U23" s="46"/>
      <c r="V23" s="39"/>
      <c r="W23" s="107" t="n">
        <f aca="false">SUM(E23,S23)</f>
        <v>6</v>
      </c>
      <c r="X23" s="108" t="n">
        <f aca="false">SUM(F23,T23)</f>
        <v>5775</v>
      </c>
      <c r="Y23" s="42"/>
      <c r="Z23" s="43" t="n">
        <v>792</v>
      </c>
      <c r="AA23" s="43" t="s">
        <v>720</v>
      </c>
    </row>
    <row r="24" customFormat="false" ht="22.35" hidden="false" customHeight="false" outlineLevel="0" collapsed="false">
      <c r="A24" s="27" t="s">
        <v>721</v>
      </c>
      <c r="B24" s="27" t="s"/>
      <c r="C24" s="28" t="s">
        <v>722</v>
      </c>
      <c r="D24" s="44"/>
      <c r="E24" s="30" t="n">
        <v>1</v>
      </c>
      <c r="F24" s="31" t="n">
        <v>200</v>
      </c>
      <c r="G24" s="44"/>
      <c r="H24" s="77"/>
      <c r="I24" s="33"/>
      <c r="J24" s="34"/>
      <c r="K24" s="34"/>
      <c r="L24" s="34"/>
      <c r="M24" s="34"/>
      <c r="N24" s="34"/>
      <c r="O24" s="34"/>
      <c r="P24" s="35"/>
      <c r="Q24" s="97" t="s">
        <v>723</v>
      </c>
      <c r="R24" s="37" t="s">
        <v>724</v>
      </c>
      <c r="S24" s="46" t="n">
        <v>11</v>
      </c>
      <c r="T24" s="38" t="n">
        <v>12277</v>
      </c>
      <c r="U24" s="46"/>
      <c r="V24" s="39"/>
      <c r="W24" s="107" t="n">
        <f aca="false">SUM(E24,S24)</f>
        <v>12</v>
      </c>
      <c r="X24" s="108" t="n">
        <f aca="false">SUM(F24,T24)</f>
        <v>12477</v>
      </c>
      <c r="Y24" s="42"/>
      <c r="Z24" s="43" t="n">
        <v>800</v>
      </c>
      <c r="AA24" s="43" t="s">
        <v>725</v>
      </c>
    </row>
    <row r="25" customFormat="false" ht="22.35" hidden="false" customHeight="false" outlineLevel="0" collapsed="false">
      <c r="A25" s="27" t="s">
        <v>725</v>
      </c>
      <c r="B25" s="27" t="s"/>
      <c r="C25" s="45" t="s">
        <v>28</v>
      </c>
      <c r="D25" s="44" t="s">
        <v>28</v>
      </c>
      <c r="E25" s="30" t="s">
        <v>28</v>
      </c>
      <c r="F25" s="31" t="s">
        <v>28</v>
      </c>
      <c r="G25" s="44"/>
      <c r="H25" s="77"/>
      <c r="I25" s="33"/>
      <c r="J25" s="34"/>
      <c r="K25" s="34"/>
      <c r="L25" s="34"/>
      <c r="M25" s="34"/>
      <c r="N25" s="34"/>
      <c r="O25" s="34"/>
      <c r="P25" s="35"/>
      <c r="Q25" s="37" t="s">
        <v>726</v>
      </c>
      <c r="R25" s="37" t="s">
        <v>727</v>
      </c>
      <c r="S25" s="46" t="n">
        <v>8</v>
      </c>
      <c r="T25" s="38" t="n">
        <v>8952</v>
      </c>
      <c r="U25" s="46"/>
      <c r="V25" s="39"/>
      <c r="W25" s="107" t="n">
        <f aca="false">SUM(E25,S25)</f>
        <v>8</v>
      </c>
      <c r="X25" s="108" t="n">
        <f aca="false">SUM(F25,T25)</f>
        <v>8952</v>
      </c>
      <c r="Y25" s="42"/>
      <c r="Z25" s="43" t="n">
        <v>809</v>
      </c>
      <c r="AA25" s="43" t="s">
        <v>728</v>
      </c>
    </row>
    <row r="26" customFormat="false" ht="22.35" hidden="false" customHeight="false" outlineLevel="0" collapsed="false">
      <c r="A26" s="27" t="s">
        <v>728</v>
      </c>
      <c r="B26" s="27" t="s"/>
      <c r="C26" s="45" t="s">
        <v>28</v>
      </c>
      <c r="D26" s="44" t="s">
        <v>28</v>
      </c>
      <c r="E26" s="30" t="s">
        <v>28</v>
      </c>
      <c r="F26" s="31" t="s">
        <v>28</v>
      </c>
      <c r="G26" s="44"/>
      <c r="H26" s="77"/>
      <c r="I26" s="33"/>
      <c r="J26" s="34"/>
      <c r="K26" s="34"/>
      <c r="L26" s="34"/>
      <c r="M26" s="34"/>
      <c r="N26" s="34"/>
      <c r="O26" s="34"/>
      <c r="P26" s="35"/>
      <c r="Q26" s="37" t="s">
        <v>729</v>
      </c>
      <c r="R26" s="37" t="s">
        <v>730</v>
      </c>
      <c r="S26" s="61" t="n">
        <v>6</v>
      </c>
      <c r="T26" s="62" t="n">
        <v>7700</v>
      </c>
      <c r="U26" s="61"/>
      <c r="V26" s="63"/>
      <c r="W26" s="107" t="n">
        <f aca="false">SUM(E26,S26)</f>
        <v>6</v>
      </c>
      <c r="X26" s="108" t="n">
        <f aca="false">SUM(F26,T26)</f>
        <v>7700</v>
      </c>
      <c r="Y26" s="42"/>
      <c r="Z26" s="43" t="n">
        <v>814</v>
      </c>
      <c r="AA26" s="43" t="s">
        <v>731</v>
      </c>
    </row>
    <row r="27" customFormat="false" ht="19.7" hidden="false" customHeight="false" outlineLevel="0" collapsed="false">
      <c r="A27" s="85" t="s">
        <v>96</v>
      </c>
      <c r="B27" s="85" t="s"/>
      <c r="C27" s="85"/>
      <c r="D27" s="85"/>
      <c r="E27" s="86" t="n">
        <f aca="false">SUM(E6:E26)</f>
        <v>11</v>
      </c>
      <c r="F27" s="87" t="n">
        <f aca="false">SUM(F6:F26)</f>
        <v>11900</v>
      </c>
      <c r="G27" s="88"/>
      <c r="H27" s="89"/>
      <c r="I27" s="90" t="s">
        <v>96</v>
      </c>
      <c r="J27" s="90"/>
      <c r="K27" s="90"/>
      <c r="L27" s="90"/>
      <c r="M27" s="88"/>
      <c r="N27" s="88"/>
      <c r="O27" s="88"/>
      <c r="P27" s="100"/>
      <c r="Q27" s="110" t="s">
        <v>96</v>
      </c>
      <c r="R27" s="110"/>
      <c r="S27" s="111" t="n">
        <f aca="false">SUM(S6:S26)</f>
        <v>184</v>
      </c>
      <c r="T27" s="112" t="n">
        <f aca="false">SUM(T6:T26)</f>
        <v>221794.5</v>
      </c>
      <c r="U27" s="113" t="n">
        <f aca="false">SUM(U6:U26)</f>
        <v>1</v>
      </c>
      <c r="V27" s="114" t="n">
        <f aca="false">SUM(V6:V26)</f>
        <v>0</v>
      </c>
      <c r="W27" s="115" t="n">
        <f aca="false">SUM(W6:W26)</f>
        <v>195</v>
      </c>
      <c r="X27" s="116" t="n">
        <f aca="false">SUM(X6:X26)</f>
        <v>233694.5</v>
      </c>
      <c r="Y27" s="117"/>
      <c r="Z27" s="117"/>
      <c r="AA27" s="117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104"/>
      <c r="X29" s="2"/>
      <c r="Y29" s="2"/>
      <c r="Z29" s="2"/>
      <c r="AA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30">
    <mergeCell ref="A1:AA1"/>
    <mergeCell ref="A3:A5"/>
    <mergeCell ref="C3:H3"/>
    <mergeCell ref="I3:P3"/>
    <mergeCell ref="Q3:V3"/>
    <mergeCell ref="W3:X3"/>
    <mergeCell ref="Y3:Y5"/>
    <mergeCell ref="Z3:Z5"/>
    <mergeCell ref="AA3:AA5"/>
    <mergeCell ref="C4:C5"/>
    <mergeCell ref="D4:D5"/>
    <mergeCell ref="E4:E5"/>
    <mergeCell ref="F4:F5"/>
    <mergeCell ref="G4:H4"/>
    <mergeCell ref="I4:J5"/>
    <mergeCell ref="K4:K5"/>
    <mergeCell ref="L4:L5"/>
    <mergeCell ref="M4:M5"/>
    <mergeCell ref="N4:N5"/>
    <mergeCell ref="O4:P4"/>
    <mergeCell ref="Q4:Q5"/>
    <mergeCell ref="R4:R5"/>
    <mergeCell ref="S4:S5"/>
    <mergeCell ref="T4:T5"/>
    <mergeCell ref="U4:V4"/>
    <mergeCell ref="W4:W5"/>
    <mergeCell ref="X4:X5"/>
    <mergeCell ref="A27:D27"/>
    <mergeCell ref="I27:L27"/>
    <mergeCell ref="Q27:R27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>
  <sheetPr filterMode="false">
    <outlinePr summaryBelow="0"/>
    <pageSetUpPr fitToPage="true"/>
  </sheetPr>
  <dimension ref="A1:AA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63"/>
    <col collapsed="false" customWidth="true" hidden="false" outlineLevel="0" style="0" width="18.63" min="2" max="2"/>
    <col collapsed="false" customWidth="true" hidden="false" outlineLevel="0" max="7" min="7" style="0" width="14.63"/>
    <col collapsed="false" customWidth="true" hidden="false" outlineLevel="0" max="8" min="8" style="0" width="17.5"/>
    <col collapsed="false" customWidth="false" hidden="true" outlineLevel="0" max="16" min="9" style="0" width="12.63"/>
    <col collapsed="false" customWidth="true" hidden="false" outlineLevel="0" max="23" min="23" style="0" width="14.88"/>
    <col collapsed="false" customWidth="true" hidden="false" outlineLevel="0" max="24" min="24" style="0" width="12.5"/>
  </cols>
  <sheetData>
    <row r="1" customFormat="false" ht="26.1" hidden="false" customHeight="false" outlineLevel="0" collapsed="false">
      <c r="A1" s="1" t="s">
        <v>732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2.35" hidden="false" customHeight="true" outlineLevel="0" collapsed="false">
      <c r="A3" s="3" t="s">
        <v>1</v>
      </c>
      <c r="B3" s="3" t="inlineStr">
        <is>
          <t>ข้อมูลกฎหมาย</t>
        </is>
      </c>
      <c r="C3" s="4" t="s">
        <v>2</v>
      </c>
      <c r="D3" s="4"/>
      <c r="E3" s="4"/>
      <c r="F3" s="4"/>
      <c r="G3" s="4"/>
      <c r="H3" s="4"/>
      <c r="I3" s="5" t="s">
        <v>3</v>
      </c>
      <c r="J3" s="5"/>
      <c r="K3" s="5"/>
      <c r="L3" s="5"/>
      <c r="M3" s="5"/>
      <c r="N3" s="5"/>
      <c r="O3" s="5"/>
      <c r="P3" s="5"/>
      <c r="Q3" s="6" t="s">
        <v>4</v>
      </c>
      <c r="R3" s="6"/>
      <c r="S3" s="6"/>
      <c r="T3" s="6"/>
      <c r="U3" s="6"/>
      <c r="V3" s="6"/>
      <c r="W3" s="7" t="s">
        <v>5</v>
      </c>
      <c r="X3" s="7"/>
      <c r="Y3" s="8" t="s">
        <v>6</v>
      </c>
      <c r="Z3" s="9" t="s">
        <v>7</v>
      </c>
      <c r="AA3" s="10" t="s">
        <v>8</v>
      </c>
    </row>
    <row r="4" customFormat="false" ht="22.35" hidden="false" customHeight="false" outlineLevel="0" collapsed="false">
      <c r="A4" s="3"/>
      <c r="B4" s="3" t="inlineStr">
        <is>
          <t>กฎหมาย</t>
        </is>
      </c>
      <c r="C4" s="11" t="s">
        <v>9</v>
      </c>
      <c r="D4" s="12" t="s">
        <v>10</v>
      </c>
      <c r="E4" s="12" t="s">
        <v>11</v>
      </c>
      <c r="F4" s="13" t="s">
        <v>12</v>
      </c>
      <c r="G4" s="14" t="s">
        <v>13</v>
      </c>
      <c r="H4" s="14"/>
      <c r="I4" s="15" t="s">
        <v>14</v>
      </c>
      <c r="J4" s="15"/>
      <c r="K4" s="16" t="s">
        <v>9</v>
      </c>
      <c r="L4" s="16" t="s">
        <v>10</v>
      </c>
      <c r="M4" s="17" t="s">
        <v>11</v>
      </c>
      <c r="N4" s="18" t="s">
        <v>12</v>
      </c>
      <c r="O4" s="19" t="s">
        <v>13</v>
      </c>
      <c r="P4" s="19"/>
      <c r="Q4" s="20" t="s">
        <v>9</v>
      </c>
      <c r="R4" s="21" t="s">
        <v>10</v>
      </c>
      <c r="S4" s="22" t="s">
        <v>11</v>
      </c>
      <c r="T4" s="21" t="s">
        <v>12</v>
      </c>
      <c r="U4" s="23" t="s">
        <v>15</v>
      </c>
      <c r="V4" s="23"/>
      <c r="W4" s="24" t="s">
        <v>16</v>
      </c>
      <c r="X4" s="25" t="s">
        <v>17</v>
      </c>
      <c r="Y4" s="8"/>
      <c r="Z4" s="9"/>
      <c r="AA4" s="9"/>
    </row>
    <row r="5" customFormat="false" ht="19.7" hidden="false" customHeight="false" outlineLevel="0" collapsed="false">
      <c r="A5" s="3"/>
      <c r="B5" s="3"/>
      <c r="C5" s="11"/>
      <c r="D5" s="12"/>
      <c r="E5" s="12"/>
      <c r="F5" s="12"/>
      <c r="G5" s="26" t="s">
        <v>11</v>
      </c>
      <c r="H5" s="14" t="s">
        <v>18</v>
      </c>
      <c r="I5" s="15"/>
      <c r="J5" s="15"/>
      <c r="K5" s="16"/>
      <c r="L5" s="16"/>
      <c r="M5" s="16"/>
      <c r="N5" s="16"/>
      <c r="O5" s="17" t="s">
        <v>11</v>
      </c>
      <c r="P5" s="19" t="s">
        <v>18</v>
      </c>
      <c r="Q5" s="20"/>
      <c r="R5" s="21"/>
      <c r="S5" s="21"/>
      <c r="T5" s="21"/>
      <c r="U5" s="22" t="s">
        <v>11</v>
      </c>
      <c r="V5" s="23" t="s">
        <v>18</v>
      </c>
      <c r="W5" s="24"/>
      <c r="X5" s="25"/>
      <c r="Y5" s="8"/>
      <c r="Z5" s="9"/>
      <c r="AA5" s="9"/>
    </row>
    <row r="6" customFormat="false" ht="22.35" hidden="false" customHeight="false" outlineLevel="0" collapsed="false">
      <c r="A6" s="27" t="s">
        <v>731</v>
      </c>
      <c r="B6" s="27" t="s"/>
      <c r="C6" s="28" t="s">
        <v>733</v>
      </c>
      <c r="D6" s="28" t="s">
        <v>734</v>
      </c>
      <c r="E6" s="30" t="n">
        <v>2</v>
      </c>
      <c r="F6" s="31" t="n">
        <v>400</v>
      </c>
      <c r="G6" s="44"/>
      <c r="H6" s="77"/>
      <c r="I6" s="33"/>
      <c r="J6" s="34"/>
      <c r="K6" s="34"/>
      <c r="L6" s="34"/>
      <c r="M6" s="34"/>
      <c r="N6" s="34"/>
      <c r="O6" s="34"/>
      <c r="P6" s="35"/>
      <c r="Q6" s="37" t="s">
        <v>735</v>
      </c>
      <c r="R6" s="37" t="s">
        <v>736</v>
      </c>
      <c r="S6" s="46" t="n">
        <v>6</v>
      </c>
      <c r="T6" s="38" t="n">
        <v>6837.91</v>
      </c>
      <c r="U6" s="46"/>
      <c r="V6" s="106"/>
      <c r="W6" s="107" t="n">
        <f aca="false">SUM(E6,S6)</f>
        <v>8</v>
      </c>
      <c r="X6" s="108" t="n">
        <f aca="false">SUM(F6,T6)</f>
        <v>7237.91</v>
      </c>
      <c r="Y6" s="109"/>
      <c r="Z6" s="43" t="n">
        <v>822</v>
      </c>
      <c r="AA6" s="43" t="s">
        <v>737</v>
      </c>
    </row>
    <row r="7" customFormat="false" ht="22.35" hidden="false" customHeight="false" outlineLevel="0" collapsed="false">
      <c r="A7" s="27" t="s">
        <v>737</v>
      </c>
      <c r="B7" s="27" t="s"/>
      <c r="C7" s="28" t="s">
        <v>738</v>
      </c>
      <c r="D7" s="29" t="s">
        <v>739</v>
      </c>
      <c r="E7" s="30" t="n">
        <v>2</v>
      </c>
      <c r="F7" s="31" t="n">
        <v>400</v>
      </c>
      <c r="G7" s="45"/>
      <c r="H7" s="78"/>
      <c r="I7" s="33"/>
      <c r="J7" s="34"/>
      <c r="K7" s="34"/>
      <c r="L7" s="34"/>
      <c r="M7" s="34"/>
      <c r="N7" s="34"/>
      <c r="O7" s="34"/>
      <c r="P7" s="82"/>
      <c r="Q7" s="36" t="s">
        <v>740</v>
      </c>
      <c r="R7" s="37" t="s">
        <v>741</v>
      </c>
      <c r="S7" s="46" t="n">
        <v>6</v>
      </c>
      <c r="T7" s="38" t="n">
        <v>7091.64</v>
      </c>
      <c r="U7" s="46"/>
      <c r="V7" s="39"/>
      <c r="W7" s="107" t="n">
        <f aca="false">SUM(E7,S7)</f>
        <v>8</v>
      </c>
      <c r="X7" s="108" t="n">
        <f aca="false">SUM(F7,T7)</f>
        <v>7491.64</v>
      </c>
      <c r="Y7" s="42"/>
      <c r="Z7" s="43" t="n">
        <v>827</v>
      </c>
      <c r="AA7" s="43" t="s">
        <v>742</v>
      </c>
    </row>
    <row r="8" customFormat="false" ht="22.35" hidden="false" customHeight="false" outlineLevel="0" collapsed="false">
      <c r="A8" s="27" t="s">
        <v>743</v>
      </c>
      <c r="B8" s="27" t="s"/>
      <c r="C8" s="45" t="s">
        <v>28</v>
      </c>
      <c r="D8" s="44" t="s">
        <v>28</v>
      </c>
      <c r="E8" s="30" t="s">
        <v>28</v>
      </c>
      <c r="F8" s="31" t="s">
        <v>28</v>
      </c>
      <c r="G8" s="44"/>
      <c r="H8" s="77"/>
      <c r="I8" s="33"/>
      <c r="J8" s="34"/>
      <c r="K8" s="34"/>
      <c r="L8" s="34"/>
      <c r="M8" s="34"/>
      <c r="N8" s="34"/>
      <c r="O8" s="34"/>
      <c r="P8" s="35"/>
      <c r="Q8" s="37" t="s">
        <v>744</v>
      </c>
      <c r="R8" s="37" t="s">
        <v>745</v>
      </c>
      <c r="S8" s="46" t="n">
        <v>5</v>
      </c>
      <c r="T8" s="38" t="n">
        <v>5614.5</v>
      </c>
      <c r="U8" s="46"/>
      <c r="V8" s="39"/>
      <c r="W8" s="107" t="n">
        <f aca="false">SUM(E8,S8)</f>
        <v>5</v>
      </c>
      <c r="X8" s="108" t="n">
        <f aca="false">SUM(F8,T8)</f>
        <v>5614.5</v>
      </c>
      <c r="Y8" s="42"/>
      <c r="Z8" s="43" t="n">
        <v>834</v>
      </c>
      <c r="AA8" s="43" t="s">
        <v>746</v>
      </c>
    </row>
    <row r="9" customFormat="false" ht="22.35" hidden="false" customHeight="false" outlineLevel="0" collapsed="false">
      <c r="A9" s="27" t="s">
        <v>746</v>
      </c>
      <c r="B9" s="27" t="s"/>
      <c r="C9" s="45" t="s">
        <v>28</v>
      </c>
      <c r="D9" s="44" t="s">
        <v>28</v>
      </c>
      <c r="E9" s="30" t="s">
        <v>28</v>
      </c>
      <c r="F9" s="31" t="s">
        <v>28</v>
      </c>
      <c r="G9" s="44"/>
      <c r="H9" s="77"/>
      <c r="I9" s="33"/>
      <c r="J9" s="34"/>
      <c r="K9" s="34"/>
      <c r="L9" s="34"/>
      <c r="M9" s="34"/>
      <c r="N9" s="34"/>
      <c r="O9" s="34"/>
      <c r="P9" s="35"/>
      <c r="Q9" s="94" t="s">
        <v>747</v>
      </c>
      <c r="R9" s="37" t="s">
        <v>748</v>
      </c>
      <c r="S9" s="46" t="n">
        <v>14</v>
      </c>
      <c r="T9" s="38" t="n">
        <v>16999.72</v>
      </c>
      <c r="U9" s="46"/>
      <c r="V9" s="39"/>
      <c r="W9" s="107" t="n">
        <f aca="false">SUM(E9,S9)</f>
        <v>14</v>
      </c>
      <c r="X9" s="108" t="n">
        <f aca="false">SUM(F9,T9)</f>
        <v>16999.72</v>
      </c>
      <c r="Y9" s="42"/>
      <c r="Z9" s="43" t="n">
        <v>842</v>
      </c>
      <c r="AA9" s="43" t="s">
        <v>749</v>
      </c>
    </row>
    <row r="10" customFormat="false" ht="22.35" hidden="false" customHeight="false" outlineLevel="0" collapsed="false">
      <c r="A10" s="27" t="s">
        <v>749</v>
      </c>
      <c r="B10" s="27" t="s"/>
      <c r="C10" s="45" t="s">
        <v>28</v>
      </c>
      <c r="D10" s="44" t="s">
        <v>28</v>
      </c>
      <c r="E10" s="30" t="s">
        <v>28</v>
      </c>
      <c r="F10" s="31" t="s">
        <v>28</v>
      </c>
      <c r="G10" s="44"/>
      <c r="H10" s="77"/>
      <c r="I10" s="33"/>
      <c r="J10" s="34"/>
      <c r="K10" s="34"/>
      <c r="L10" s="34"/>
      <c r="M10" s="34"/>
      <c r="N10" s="34"/>
      <c r="O10" s="34"/>
      <c r="P10" s="35"/>
      <c r="Q10" s="37" t="s">
        <v>750</v>
      </c>
      <c r="R10" s="37" t="s">
        <v>751</v>
      </c>
      <c r="S10" s="46" t="n">
        <v>4</v>
      </c>
      <c r="T10" s="38" t="n">
        <v>4507.08</v>
      </c>
      <c r="U10" s="46"/>
      <c r="V10" s="39"/>
      <c r="W10" s="107" t="n">
        <f aca="false">SUM(E10,S10)</f>
        <v>4</v>
      </c>
      <c r="X10" s="108" t="n">
        <f aca="false">SUM(F10,T10)</f>
        <v>4507.08</v>
      </c>
      <c r="Y10" s="42"/>
      <c r="Z10" s="43" t="n">
        <v>846</v>
      </c>
      <c r="AA10" s="43" t="s">
        <v>752</v>
      </c>
    </row>
    <row r="11" customFormat="false" ht="22.35" hidden="false" customHeight="false" outlineLevel="0" collapsed="false">
      <c r="A11" s="27" t="s">
        <v>752</v>
      </c>
      <c r="B11" s="27" t="s"/>
      <c r="C11" s="28" t="s">
        <v>753</v>
      </c>
      <c r="D11" s="44" t="s">
        <v>28</v>
      </c>
      <c r="E11" s="30" t="n">
        <v>1</v>
      </c>
      <c r="F11" s="31" t="n">
        <v>2500</v>
      </c>
      <c r="G11" s="44"/>
      <c r="H11" s="77"/>
      <c r="I11" s="33"/>
      <c r="J11" s="34"/>
      <c r="K11" s="34"/>
      <c r="L11" s="34"/>
      <c r="M11" s="34"/>
      <c r="N11" s="34"/>
      <c r="O11" s="34"/>
      <c r="P11" s="35"/>
      <c r="Q11" s="37" t="s">
        <v>754</v>
      </c>
      <c r="R11" s="37" t="s">
        <v>755</v>
      </c>
      <c r="S11" s="46" t="n">
        <v>8</v>
      </c>
      <c r="T11" s="38" t="n">
        <v>15133.41</v>
      </c>
      <c r="U11" s="46"/>
      <c r="V11" s="39"/>
      <c r="W11" s="107" t="n">
        <f aca="false">SUM(E11,S11)</f>
        <v>9</v>
      </c>
      <c r="X11" s="108" t="n">
        <f aca="false">SUM(F11,T11)</f>
        <v>17633.41</v>
      </c>
      <c r="Y11" s="42"/>
      <c r="Z11" s="43" t="n">
        <v>852</v>
      </c>
      <c r="AA11" s="43" t="s">
        <v>756</v>
      </c>
    </row>
    <row r="12" customFormat="false" ht="22.35" hidden="false" customHeight="false" outlineLevel="0" collapsed="false">
      <c r="A12" s="27" t="s">
        <v>756</v>
      </c>
      <c r="B12" s="27" t="s"/>
      <c r="C12" s="28" t="s">
        <v>757</v>
      </c>
      <c r="D12" s="44"/>
      <c r="E12" s="30" t="n">
        <v>1</v>
      </c>
      <c r="F12" s="31" t="n">
        <v>200</v>
      </c>
      <c r="G12" s="44"/>
      <c r="H12" s="77"/>
      <c r="I12" s="33"/>
      <c r="J12" s="34"/>
      <c r="K12" s="34"/>
      <c r="L12" s="34"/>
      <c r="M12" s="34"/>
      <c r="N12" s="34"/>
      <c r="O12" s="34"/>
      <c r="P12" s="35"/>
      <c r="Q12" s="37" t="s">
        <v>758</v>
      </c>
      <c r="R12" s="37" t="s">
        <v>759</v>
      </c>
      <c r="S12" s="46" t="n">
        <v>6</v>
      </c>
      <c r="T12" s="38" t="n">
        <v>6772.26</v>
      </c>
      <c r="U12" s="46"/>
      <c r="V12" s="39"/>
      <c r="W12" s="107" t="n">
        <f aca="false">SUM(E12,S12)</f>
        <v>7</v>
      </c>
      <c r="X12" s="108" t="n">
        <f aca="false">SUM(F12,T12)</f>
        <v>6972.26</v>
      </c>
      <c r="Y12" s="42"/>
      <c r="Z12" s="43" t="n">
        <v>858</v>
      </c>
      <c r="AA12" s="43" t="s">
        <v>760</v>
      </c>
    </row>
    <row r="13" customFormat="false" ht="22.35" hidden="false" customHeight="false" outlineLevel="0" collapsed="false">
      <c r="A13" s="27" t="s">
        <v>761</v>
      </c>
      <c r="B13" s="27" t="s"/>
      <c r="C13" s="28" t="s">
        <v>762</v>
      </c>
      <c r="D13" s="44"/>
      <c r="E13" s="30" t="n">
        <v>1</v>
      </c>
      <c r="F13" s="31" t="n">
        <v>200</v>
      </c>
      <c r="G13" s="44"/>
      <c r="H13" s="77"/>
      <c r="I13" s="33"/>
      <c r="J13" s="34"/>
      <c r="K13" s="34"/>
      <c r="L13" s="34"/>
      <c r="M13" s="34"/>
      <c r="N13" s="34"/>
      <c r="O13" s="34"/>
      <c r="P13" s="35"/>
      <c r="Q13" s="37" t="s">
        <v>763</v>
      </c>
      <c r="R13" s="37" t="s">
        <v>764</v>
      </c>
      <c r="S13" s="46" t="n">
        <v>8</v>
      </c>
      <c r="T13" s="38" t="n">
        <v>9758.41</v>
      </c>
      <c r="U13" s="46"/>
      <c r="V13" s="39"/>
      <c r="W13" s="107" t="n">
        <f aca="false">SUM(E13,S13)</f>
        <v>9</v>
      </c>
      <c r="X13" s="108" t="n">
        <f aca="false">SUM(F13,T13)</f>
        <v>9958.41</v>
      </c>
      <c r="Y13" s="42"/>
      <c r="Z13" s="43" t="n">
        <v>865</v>
      </c>
      <c r="AA13" s="43" t="s">
        <v>765</v>
      </c>
    </row>
    <row r="14" customFormat="false" ht="22.35" hidden="false" customHeight="false" outlineLevel="0" collapsed="false">
      <c r="A14" s="27" t="s">
        <v>765</v>
      </c>
      <c r="B14" s="27" t="s"/>
      <c r="C14" s="45" t="s">
        <v>28</v>
      </c>
      <c r="D14" s="44" t="s">
        <v>28</v>
      </c>
      <c r="E14" s="30" t="s">
        <v>28</v>
      </c>
      <c r="F14" s="31" t="s">
        <v>28</v>
      </c>
      <c r="G14" s="44"/>
      <c r="H14" s="77"/>
      <c r="I14" s="33"/>
      <c r="J14" s="34"/>
      <c r="K14" s="34"/>
      <c r="L14" s="48"/>
      <c r="M14" s="34"/>
      <c r="N14" s="34"/>
      <c r="O14" s="34"/>
      <c r="P14" s="35"/>
      <c r="Q14" s="37" t="s">
        <v>766</v>
      </c>
      <c r="R14" s="37" t="s">
        <v>767</v>
      </c>
      <c r="S14" s="46" t="n">
        <v>12</v>
      </c>
      <c r="T14" s="38" t="n">
        <v>14460.22</v>
      </c>
      <c r="U14" s="46"/>
      <c r="V14" s="39"/>
      <c r="W14" s="107" t="n">
        <f aca="false">SUM(E14,S14)</f>
        <v>12</v>
      </c>
      <c r="X14" s="108" t="n">
        <f aca="false">SUM(F14,T14)</f>
        <v>14460.22</v>
      </c>
      <c r="Y14" s="42"/>
      <c r="Z14" s="43" t="n">
        <v>872</v>
      </c>
      <c r="AA14" s="43" t="s">
        <v>768</v>
      </c>
    </row>
    <row r="15" customFormat="false" ht="22.35" hidden="false" customHeight="false" outlineLevel="0" collapsed="false">
      <c r="A15" s="27" t="s">
        <v>768</v>
      </c>
      <c r="B15" s="27" t="s"/>
      <c r="C15" s="45" t="s">
        <v>28</v>
      </c>
      <c r="D15" s="44" t="s">
        <v>28</v>
      </c>
      <c r="E15" s="30" t="s">
        <v>28</v>
      </c>
      <c r="F15" s="31" t="s">
        <v>28</v>
      </c>
      <c r="G15" s="44"/>
      <c r="H15" s="77"/>
      <c r="I15" s="33"/>
      <c r="J15" s="34"/>
      <c r="K15" s="34"/>
      <c r="L15" s="48"/>
      <c r="M15" s="34"/>
      <c r="N15" s="34"/>
      <c r="O15" s="34"/>
      <c r="P15" s="35"/>
      <c r="Q15" s="37" t="s">
        <v>769</v>
      </c>
      <c r="R15" s="37" t="s">
        <v>770</v>
      </c>
      <c r="S15" s="46" t="n">
        <v>8</v>
      </c>
      <c r="T15" s="38" t="n">
        <v>10508.4</v>
      </c>
      <c r="U15" s="46"/>
      <c r="V15" s="39"/>
      <c r="W15" s="107" t="n">
        <f aca="false">SUM(E15,S15)</f>
        <v>8</v>
      </c>
      <c r="X15" s="108" t="n">
        <f aca="false">SUM(F15,T15)</f>
        <v>10508.4</v>
      </c>
      <c r="Y15" s="42"/>
      <c r="Z15" s="43" t="n">
        <v>879</v>
      </c>
      <c r="AA15" s="43" t="s">
        <v>771</v>
      </c>
    </row>
    <row r="16" customFormat="false" ht="22.35" hidden="false" customHeight="false" outlineLevel="0" collapsed="false">
      <c r="A16" s="27" t="s">
        <v>771</v>
      </c>
      <c r="B16" s="27" t="s"/>
      <c r="C16" s="45" t="s">
        <v>28</v>
      </c>
      <c r="D16" s="44" t="s">
        <v>28</v>
      </c>
      <c r="E16" s="30" t="s">
        <v>28</v>
      </c>
      <c r="F16" s="31" t="s">
        <v>28</v>
      </c>
      <c r="G16" s="44"/>
      <c r="H16" s="77"/>
      <c r="I16" s="33"/>
      <c r="J16" s="34"/>
      <c r="K16" s="34"/>
      <c r="L16" s="34"/>
      <c r="M16" s="34"/>
      <c r="N16" s="34"/>
      <c r="O16" s="34"/>
      <c r="P16" s="35"/>
      <c r="Q16" s="37" t="s">
        <v>772</v>
      </c>
      <c r="R16" s="37" t="s">
        <v>773</v>
      </c>
      <c r="S16" s="46" t="n">
        <v>6</v>
      </c>
      <c r="T16" s="38" t="n">
        <v>7527.12</v>
      </c>
      <c r="U16" s="46"/>
      <c r="V16" s="39"/>
      <c r="W16" s="107" t="n">
        <f aca="false">SUM(E16,S16)</f>
        <v>6</v>
      </c>
      <c r="X16" s="108" t="n">
        <f aca="false">SUM(F16,T16)</f>
        <v>7527.12</v>
      </c>
      <c r="Y16" s="42"/>
      <c r="Z16" s="43" t="n">
        <v>886</v>
      </c>
      <c r="AA16" s="43" t="s">
        <v>774</v>
      </c>
    </row>
    <row r="17" customFormat="false" ht="22.35" hidden="false" customHeight="false" outlineLevel="0" collapsed="false">
      <c r="A17" s="27" t="s">
        <v>774</v>
      </c>
      <c r="B17" s="27" t="s"/>
      <c r="C17" s="28" t="s">
        <v>775</v>
      </c>
      <c r="D17" s="45" t="s">
        <v>28</v>
      </c>
      <c r="E17" s="30" t="n">
        <v>1</v>
      </c>
      <c r="F17" s="31" t="n">
        <v>200</v>
      </c>
      <c r="G17" s="44"/>
      <c r="H17" s="77"/>
      <c r="I17" s="33"/>
      <c r="J17" s="34"/>
      <c r="K17" s="34"/>
      <c r="L17" s="34"/>
      <c r="M17" s="34"/>
      <c r="N17" s="34"/>
      <c r="O17" s="34"/>
      <c r="P17" s="35"/>
      <c r="Q17" s="37" t="s">
        <v>776</v>
      </c>
      <c r="R17" s="37" t="s">
        <v>777</v>
      </c>
      <c r="S17" s="46" t="n">
        <v>9</v>
      </c>
      <c r="T17" s="38" t="n">
        <v>10939.32</v>
      </c>
      <c r="U17" s="46"/>
      <c r="V17" s="39"/>
      <c r="W17" s="107" t="n">
        <f aca="false">SUM(E17,S17)</f>
        <v>10</v>
      </c>
      <c r="X17" s="108" t="n">
        <f aca="false">SUM(F17,T17)</f>
        <v>11139.32</v>
      </c>
      <c r="Y17" s="42"/>
      <c r="Z17" s="43" t="n">
        <v>893</v>
      </c>
      <c r="AA17" s="43" t="s">
        <v>778</v>
      </c>
    </row>
    <row r="18" customFormat="false" ht="22.35" hidden="false" customHeight="false" outlineLevel="0" collapsed="false">
      <c r="A18" s="27" t="s">
        <v>779</v>
      </c>
      <c r="B18" s="27" t="s"/>
      <c r="C18" s="45" t="s">
        <v>28</v>
      </c>
      <c r="D18" s="44" t="s">
        <v>28</v>
      </c>
      <c r="E18" s="30" t="s">
        <v>28</v>
      </c>
      <c r="F18" s="31" t="s">
        <v>28</v>
      </c>
      <c r="G18" s="44"/>
      <c r="H18" s="77"/>
      <c r="I18" s="33"/>
      <c r="J18" s="34"/>
      <c r="K18" s="34"/>
      <c r="L18" s="34"/>
      <c r="M18" s="34"/>
      <c r="N18" s="34"/>
      <c r="O18" s="34"/>
      <c r="P18" s="35"/>
      <c r="Q18" s="36" t="s">
        <v>780</v>
      </c>
      <c r="R18" s="37" t="s">
        <v>781</v>
      </c>
      <c r="S18" s="46" t="n">
        <v>10</v>
      </c>
      <c r="T18" s="38" t="n">
        <v>12084.5</v>
      </c>
      <c r="U18" s="46"/>
      <c r="V18" s="39"/>
      <c r="W18" s="107" t="n">
        <f aca="false">SUM(E18,S18)</f>
        <v>10</v>
      </c>
      <c r="X18" s="108" t="n">
        <f aca="false">SUM(F18,T18)</f>
        <v>12084.5</v>
      </c>
      <c r="Y18" s="42"/>
      <c r="Z18" s="43" t="n">
        <v>897</v>
      </c>
      <c r="AA18" s="43" t="s">
        <v>782</v>
      </c>
    </row>
    <row r="19" customFormat="false" ht="22.35" hidden="false" customHeight="false" outlineLevel="0" collapsed="false">
      <c r="A19" s="27" t="s">
        <v>782</v>
      </c>
      <c r="B19" s="27" t="s"/>
      <c r="C19" s="45" t="s">
        <v>28</v>
      </c>
      <c r="D19" s="44" t="s">
        <v>28</v>
      </c>
      <c r="E19" s="30" t="s">
        <v>28</v>
      </c>
      <c r="F19" s="31" t="s">
        <v>28</v>
      </c>
      <c r="G19" s="44"/>
      <c r="H19" s="77"/>
      <c r="I19" s="33"/>
      <c r="J19" s="34"/>
      <c r="K19" s="34"/>
      <c r="L19" s="34"/>
      <c r="M19" s="34"/>
      <c r="N19" s="34"/>
      <c r="O19" s="34"/>
      <c r="P19" s="35"/>
      <c r="Q19" s="36" t="s">
        <v>783</v>
      </c>
      <c r="R19" s="37" t="s">
        <v>784</v>
      </c>
      <c r="S19" s="46" t="n">
        <v>5</v>
      </c>
      <c r="T19" s="38" t="n">
        <v>6056.75</v>
      </c>
      <c r="U19" s="46"/>
      <c r="V19" s="39"/>
      <c r="W19" s="107" t="n">
        <f aca="false">SUM(E19,S19)</f>
        <v>5</v>
      </c>
      <c r="X19" s="108" t="n">
        <f aca="false">SUM(F19,T19)</f>
        <v>6056.75</v>
      </c>
      <c r="Y19" s="42"/>
      <c r="Z19" s="43" t="n">
        <v>905</v>
      </c>
      <c r="AA19" s="43" t="s">
        <v>785</v>
      </c>
    </row>
    <row r="20" customFormat="false" ht="22.35" hidden="false" customHeight="false" outlineLevel="0" collapsed="false">
      <c r="A20" s="27" t="s">
        <v>785</v>
      </c>
      <c r="B20" s="27" t="s"/>
      <c r="C20" s="28" t="s">
        <v>786</v>
      </c>
      <c r="D20" s="44" t="s">
        <v>28</v>
      </c>
      <c r="E20" s="30" t="n">
        <v>1</v>
      </c>
      <c r="F20" s="31" t="n">
        <v>200</v>
      </c>
      <c r="G20" s="44"/>
      <c r="H20" s="77"/>
      <c r="I20" s="33"/>
      <c r="J20" s="34"/>
      <c r="K20" s="34"/>
      <c r="L20" s="34"/>
      <c r="M20" s="34"/>
      <c r="N20" s="34"/>
      <c r="O20" s="34"/>
      <c r="P20" s="35"/>
      <c r="Q20" s="97" t="s">
        <v>787</v>
      </c>
      <c r="R20" s="97" t="s">
        <v>788</v>
      </c>
      <c r="S20" s="46" t="n">
        <v>2</v>
      </c>
      <c r="T20" s="38" t="n">
        <v>2280.64</v>
      </c>
      <c r="U20" s="46"/>
      <c r="V20" s="39"/>
      <c r="W20" s="107" t="n">
        <f aca="false">SUM(E20,S20)</f>
        <v>3</v>
      </c>
      <c r="X20" s="108" t="n">
        <f aca="false">SUM(F20,T20)</f>
        <v>2480.64</v>
      </c>
      <c r="Y20" s="42"/>
      <c r="Z20" s="43" t="n">
        <v>911</v>
      </c>
      <c r="AA20" s="43" t="s">
        <v>789</v>
      </c>
    </row>
    <row r="21" customFormat="false" ht="22.35" hidden="false" customHeight="false" outlineLevel="0" collapsed="false">
      <c r="A21" s="27" t="s">
        <v>789</v>
      </c>
      <c r="B21" s="27" t="s"/>
      <c r="C21" s="45" t="s">
        <v>28</v>
      </c>
      <c r="D21" s="44" t="s">
        <v>28</v>
      </c>
      <c r="E21" s="30" t="s">
        <v>28</v>
      </c>
      <c r="F21" s="31" t="s">
        <v>28</v>
      </c>
      <c r="G21" s="44"/>
      <c r="H21" s="77"/>
      <c r="I21" s="33"/>
      <c r="J21" s="34"/>
      <c r="K21" s="34"/>
      <c r="L21" s="34"/>
      <c r="M21" s="34"/>
      <c r="N21" s="34"/>
      <c r="O21" s="34"/>
      <c r="P21" s="35"/>
      <c r="Q21" s="97" t="s">
        <v>790</v>
      </c>
      <c r="R21" s="97" t="s">
        <v>791</v>
      </c>
      <c r="S21" s="46" t="n">
        <v>8</v>
      </c>
      <c r="T21" s="38" t="n">
        <v>9490.32</v>
      </c>
      <c r="U21" s="46"/>
      <c r="V21" s="39"/>
      <c r="W21" s="107" t="n">
        <f aca="false">SUM(E21,S21)</f>
        <v>8</v>
      </c>
      <c r="X21" s="108" t="n">
        <f aca="false">SUM(F21,T21)</f>
        <v>9490.32</v>
      </c>
      <c r="Y21" s="42"/>
      <c r="Z21" s="43" t="n">
        <v>916</v>
      </c>
      <c r="AA21" s="43" t="s">
        <v>792</v>
      </c>
    </row>
    <row r="22" customFormat="false" ht="22.35" hidden="false" customHeight="false" outlineLevel="0" collapsed="false">
      <c r="A22" s="27" t="s">
        <v>792</v>
      </c>
      <c r="B22" s="27" t="s"/>
      <c r="C22" s="45" t="s">
        <v>28</v>
      </c>
      <c r="D22" s="44" t="s">
        <v>28</v>
      </c>
      <c r="E22" s="30" t="s">
        <v>28</v>
      </c>
      <c r="F22" s="31" t="s">
        <v>28</v>
      </c>
      <c r="G22" s="44"/>
      <c r="H22" s="77"/>
      <c r="I22" s="33"/>
      <c r="J22" s="34"/>
      <c r="K22" s="34"/>
      <c r="L22" s="34"/>
      <c r="M22" s="34"/>
      <c r="N22" s="34"/>
      <c r="O22" s="34"/>
      <c r="P22" s="35"/>
      <c r="Q22" s="97" t="s">
        <v>793</v>
      </c>
      <c r="R22" s="97" t="s">
        <v>794</v>
      </c>
      <c r="S22" s="46" t="n">
        <v>7</v>
      </c>
      <c r="T22" s="38" t="n">
        <v>7995.82</v>
      </c>
      <c r="U22" s="46"/>
      <c r="V22" s="39"/>
      <c r="W22" s="107" t="n">
        <f aca="false">SUM(E22,S22)</f>
        <v>7</v>
      </c>
      <c r="X22" s="108" t="n">
        <f aca="false">SUM(F22,T22)</f>
        <v>7995.82</v>
      </c>
      <c r="Y22" s="42"/>
      <c r="Z22" s="43" t="n">
        <v>921</v>
      </c>
      <c r="AA22" s="43" t="s">
        <v>795</v>
      </c>
    </row>
    <row r="23" customFormat="false" ht="22.35" hidden="false" customHeight="false" outlineLevel="0" collapsed="false">
      <c r="A23" s="27" t="s">
        <v>796</v>
      </c>
      <c r="B23" s="27" t="s"/>
      <c r="C23" s="28" t="s">
        <v>797</v>
      </c>
      <c r="D23" s="29" t="s">
        <v>798</v>
      </c>
      <c r="E23" s="30" t="n">
        <v>2</v>
      </c>
      <c r="F23" s="31" t="n">
        <v>3100</v>
      </c>
      <c r="G23" s="44"/>
      <c r="H23" s="77"/>
      <c r="I23" s="33"/>
      <c r="J23" s="34"/>
      <c r="K23" s="34"/>
      <c r="L23" s="34"/>
      <c r="M23" s="34"/>
      <c r="N23" s="34"/>
      <c r="O23" s="34"/>
      <c r="P23" s="35"/>
      <c r="Q23" s="97" t="s">
        <v>799</v>
      </c>
      <c r="R23" s="97" t="s">
        <v>800</v>
      </c>
      <c r="S23" s="46" t="n">
        <v>7</v>
      </c>
      <c r="T23" s="38" t="n">
        <v>9076.68</v>
      </c>
      <c r="U23" s="46"/>
      <c r="V23" s="39"/>
      <c r="W23" s="107" t="n">
        <f aca="false">SUM(E23,S23)</f>
        <v>9</v>
      </c>
      <c r="X23" s="108" t="n">
        <f aca="false">SUM(F23,T23)</f>
        <v>12176.68</v>
      </c>
      <c r="Y23" s="42"/>
      <c r="Z23" s="43" t="n">
        <v>928</v>
      </c>
      <c r="AA23" s="43" t="s">
        <v>801</v>
      </c>
    </row>
    <row r="24" customFormat="false" ht="22.35" hidden="false" customHeight="false" outlineLevel="0" collapsed="false">
      <c r="A24" s="27" t="s">
        <v>802</v>
      </c>
      <c r="B24" s="27" t="s"/>
      <c r="C24" s="45" t="s">
        <v>28</v>
      </c>
      <c r="D24" s="44" t="s">
        <v>28</v>
      </c>
      <c r="E24" s="30" t="s">
        <v>28</v>
      </c>
      <c r="F24" s="31" t="s">
        <v>28</v>
      </c>
      <c r="G24" s="44"/>
      <c r="H24" s="77"/>
      <c r="I24" s="33"/>
      <c r="J24" s="34"/>
      <c r="K24" s="34"/>
      <c r="L24" s="34"/>
      <c r="M24" s="34"/>
      <c r="N24" s="34"/>
      <c r="O24" s="34"/>
      <c r="P24" s="35"/>
      <c r="Q24" s="97" t="s">
        <v>803</v>
      </c>
      <c r="R24" s="37" t="s">
        <v>804</v>
      </c>
      <c r="S24" s="46" t="n">
        <v>4</v>
      </c>
      <c r="T24" s="38" t="n">
        <v>5304.52</v>
      </c>
      <c r="U24" s="46"/>
      <c r="V24" s="39"/>
      <c r="W24" s="107" t="n">
        <f aca="false">SUM(E24,S24)</f>
        <v>4</v>
      </c>
      <c r="X24" s="108" t="n">
        <f aca="false">SUM(F24,T24)</f>
        <v>5304.52</v>
      </c>
      <c r="Y24" s="42"/>
      <c r="Z24" s="43" t="n">
        <v>936</v>
      </c>
      <c r="AA24" s="43" t="s">
        <v>805</v>
      </c>
    </row>
    <row r="25" customFormat="false" ht="19.7" hidden="false" customHeight="false" outlineLevel="0" collapsed="false">
      <c r="A25" s="85" t="s">
        <v>96</v>
      </c>
      <c r="B25" s="85" t="s"/>
      <c r="C25" s="85"/>
      <c r="D25" s="85"/>
      <c r="E25" s="86" t="n">
        <f aca="false">SUM(E6:E24)</f>
        <v>11</v>
      </c>
      <c r="F25" s="87" t="n">
        <f aca="false">SUM(F6:F24)</f>
        <v>7200</v>
      </c>
      <c r="G25" s="88"/>
      <c r="H25" s="89"/>
      <c r="I25" s="90" t="s">
        <v>96</v>
      </c>
      <c r="J25" s="90"/>
      <c r="K25" s="90"/>
      <c r="L25" s="90"/>
      <c r="M25" s="88"/>
      <c r="N25" s="88"/>
      <c r="O25" s="88"/>
      <c r="P25" s="100"/>
      <c r="Q25" s="110" t="s">
        <v>96</v>
      </c>
      <c r="R25" s="110"/>
      <c r="S25" s="111" t="n">
        <f aca="false">SUM(S6:S24)</f>
        <v>135</v>
      </c>
      <c r="T25" s="112" t="n">
        <f aca="false">SUM(T6:T24)</f>
        <v>168439.22</v>
      </c>
      <c r="U25" s="113" t="n">
        <f aca="false">SUM(U6:U24)</f>
        <v>0</v>
      </c>
      <c r="V25" s="114" t="n">
        <f aca="false">SUM(V6:V24)</f>
        <v>0</v>
      </c>
      <c r="W25" s="115" t="n">
        <f aca="false">SUM(W6:W24)</f>
        <v>146</v>
      </c>
      <c r="X25" s="116" t="n">
        <f aca="false">SUM(X6:X24)</f>
        <v>175639.22</v>
      </c>
      <c r="Y25" s="117"/>
      <c r="Z25" s="117"/>
      <c r="AA25" s="117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104"/>
      <c r="X27" s="2"/>
      <c r="Y27" s="2"/>
      <c r="Z27" s="2"/>
      <c r="AA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mergeCells count="30">
    <mergeCell ref="A1:AA1"/>
    <mergeCell ref="A3:A5"/>
    <mergeCell ref="C3:H3"/>
    <mergeCell ref="I3:P3"/>
    <mergeCell ref="Q3:V3"/>
    <mergeCell ref="W3:X3"/>
    <mergeCell ref="Y3:Y5"/>
    <mergeCell ref="Z3:Z5"/>
    <mergeCell ref="AA3:AA5"/>
    <mergeCell ref="C4:C5"/>
    <mergeCell ref="D4:D5"/>
    <mergeCell ref="E4:E5"/>
    <mergeCell ref="F4:F5"/>
    <mergeCell ref="G4:H4"/>
    <mergeCell ref="I4:J5"/>
    <mergeCell ref="K4:K5"/>
    <mergeCell ref="L4:L5"/>
    <mergeCell ref="M4:M5"/>
    <mergeCell ref="N4:N5"/>
    <mergeCell ref="O4:P4"/>
    <mergeCell ref="Q4:Q5"/>
    <mergeCell ref="R4:R5"/>
    <mergeCell ref="S4:S5"/>
    <mergeCell ref="T4:T5"/>
    <mergeCell ref="U4:V4"/>
    <mergeCell ref="W4:W5"/>
    <mergeCell ref="X4:X5"/>
    <mergeCell ref="A25:D25"/>
    <mergeCell ref="I25:L25"/>
    <mergeCell ref="Q25:R2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>
  <sheetPr filterMode="false">
    <outlinePr summaryBelow="0"/>
    <pageSetUpPr fitToPage="true"/>
  </sheetPr>
  <dimension ref="A1:AA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63"/>
    <col collapsed="false" customWidth="true" hidden="false" outlineLevel="0" style="0" width="18.63" min="2" max="2"/>
    <col collapsed="false" customWidth="true" hidden="false" outlineLevel="0" max="7" min="7" style="0" width="14.63"/>
    <col collapsed="false" customWidth="true" hidden="false" outlineLevel="0" max="8" min="8" style="0" width="17.5"/>
    <col collapsed="false" customWidth="false" hidden="true" outlineLevel="0" max="16" min="9" style="0" width="12.63"/>
    <col collapsed="false" customWidth="true" hidden="false" outlineLevel="0" max="23" min="23" style="0" width="14.88"/>
    <col collapsed="false" customWidth="true" hidden="false" outlineLevel="0" max="24" min="24" style="0" width="12.5"/>
  </cols>
  <sheetData>
    <row r="1" customFormat="false" ht="26.1" hidden="false" customHeight="false" outlineLevel="0" collapsed="false">
      <c r="A1" s="1" t="s">
        <v>806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2.35" hidden="false" customHeight="true" outlineLevel="0" collapsed="false">
      <c r="A3" s="3" t="s">
        <v>1</v>
      </c>
      <c r="B3" s="3" t="inlineStr">
        <is>
          <t>ข้อมูลกฎหมาย</t>
        </is>
      </c>
      <c r="C3" s="4" t="s">
        <v>2</v>
      </c>
      <c r="D3" s="4"/>
      <c r="E3" s="4"/>
      <c r="F3" s="4"/>
      <c r="G3" s="4"/>
      <c r="H3" s="4"/>
      <c r="I3" s="5" t="s">
        <v>3</v>
      </c>
      <c r="J3" s="5"/>
      <c r="K3" s="5"/>
      <c r="L3" s="5"/>
      <c r="M3" s="5"/>
      <c r="N3" s="5"/>
      <c r="O3" s="5"/>
      <c r="P3" s="5"/>
      <c r="Q3" s="6" t="s">
        <v>4</v>
      </c>
      <c r="R3" s="6"/>
      <c r="S3" s="6"/>
      <c r="T3" s="6"/>
      <c r="U3" s="6"/>
      <c r="V3" s="6"/>
      <c r="W3" s="7" t="s">
        <v>5</v>
      </c>
      <c r="X3" s="7"/>
      <c r="Y3" s="8" t="s">
        <v>6</v>
      </c>
      <c r="Z3" s="9" t="s">
        <v>7</v>
      </c>
      <c r="AA3" s="10" t="s">
        <v>8</v>
      </c>
    </row>
    <row r="4" customFormat="false" ht="22.35" hidden="false" customHeight="false" outlineLevel="0" collapsed="false">
      <c r="A4" s="3"/>
      <c r="B4" s="3" t="inlineStr">
        <is>
          <t>กฎหมาย</t>
        </is>
      </c>
      <c r="C4" s="11" t="s">
        <v>9</v>
      </c>
      <c r="D4" s="12" t="s">
        <v>10</v>
      </c>
      <c r="E4" s="12" t="s">
        <v>11</v>
      </c>
      <c r="F4" s="13" t="s">
        <v>12</v>
      </c>
      <c r="G4" s="14" t="s">
        <v>13</v>
      </c>
      <c r="H4" s="14"/>
      <c r="I4" s="15" t="s">
        <v>14</v>
      </c>
      <c r="J4" s="15"/>
      <c r="K4" s="16" t="s">
        <v>9</v>
      </c>
      <c r="L4" s="16" t="s">
        <v>10</v>
      </c>
      <c r="M4" s="17" t="s">
        <v>11</v>
      </c>
      <c r="N4" s="18" t="s">
        <v>12</v>
      </c>
      <c r="O4" s="19" t="s">
        <v>13</v>
      </c>
      <c r="P4" s="19"/>
      <c r="Q4" s="20" t="s">
        <v>9</v>
      </c>
      <c r="R4" s="21" t="s">
        <v>10</v>
      </c>
      <c r="S4" s="22" t="s">
        <v>11</v>
      </c>
      <c r="T4" s="21" t="s">
        <v>12</v>
      </c>
      <c r="U4" s="23" t="s">
        <v>15</v>
      </c>
      <c r="V4" s="23"/>
      <c r="W4" s="24" t="s">
        <v>16</v>
      </c>
      <c r="X4" s="25" t="s">
        <v>17</v>
      </c>
      <c r="Y4" s="8"/>
      <c r="Z4" s="9"/>
      <c r="AA4" s="9"/>
    </row>
    <row r="5" customFormat="false" ht="19.7" hidden="false" customHeight="false" outlineLevel="0" collapsed="false">
      <c r="A5" s="3"/>
      <c r="B5" s="3"/>
      <c r="C5" s="11"/>
      <c r="D5" s="12"/>
      <c r="E5" s="12"/>
      <c r="F5" s="12"/>
      <c r="G5" s="26" t="s">
        <v>11</v>
      </c>
      <c r="H5" s="14" t="s">
        <v>18</v>
      </c>
      <c r="I5" s="15"/>
      <c r="J5" s="15"/>
      <c r="K5" s="16"/>
      <c r="L5" s="16"/>
      <c r="M5" s="16"/>
      <c r="N5" s="16"/>
      <c r="O5" s="17" t="s">
        <v>11</v>
      </c>
      <c r="P5" s="19" t="s">
        <v>18</v>
      </c>
      <c r="Q5" s="20"/>
      <c r="R5" s="21"/>
      <c r="S5" s="21"/>
      <c r="T5" s="21"/>
      <c r="U5" s="22" t="s">
        <v>11</v>
      </c>
      <c r="V5" s="23" t="s">
        <v>18</v>
      </c>
      <c r="W5" s="24"/>
      <c r="X5" s="25"/>
      <c r="Y5" s="8"/>
      <c r="Z5" s="9"/>
      <c r="AA5" s="9"/>
    </row>
    <row r="6" customFormat="false" ht="22.35" hidden="false" customHeight="false" outlineLevel="0" collapsed="false">
      <c r="A6" s="27" t="s">
        <v>807</v>
      </c>
      <c r="B6" s="27" t="s"/>
      <c r="C6" s="45" t="s">
        <v>28</v>
      </c>
      <c r="D6" s="45"/>
      <c r="E6" s="30"/>
      <c r="F6" s="31"/>
      <c r="G6" s="44"/>
      <c r="H6" s="77"/>
      <c r="I6" s="33"/>
      <c r="J6" s="34"/>
      <c r="K6" s="34"/>
      <c r="L6" s="34"/>
      <c r="M6" s="34"/>
      <c r="N6" s="34"/>
      <c r="O6" s="34"/>
      <c r="P6" s="35"/>
      <c r="Q6" s="37" t="s">
        <v>808</v>
      </c>
      <c r="R6" s="37" t="s">
        <v>809</v>
      </c>
      <c r="S6" s="46" t="n">
        <v>10</v>
      </c>
      <c r="T6" s="38" t="n">
        <v>12110</v>
      </c>
      <c r="U6" s="46"/>
      <c r="V6" s="106"/>
      <c r="W6" s="107" t="n">
        <f aca="false">SUM(E6,S6)</f>
        <v>10</v>
      </c>
      <c r="X6" s="108" t="n">
        <f aca="false">SUM(F6,T6)</f>
        <v>12110</v>
      </c>
      <c r="Y6" s="109"/>
      <c r="Z6" s="43" t="n">
        <v>943</v>
      </c>
      <c r="AA6" s="43" t="s">
        <v>810</v>
      </c>
    </row>
    <row r="7" customFormat="false" ht="22.35" hidden="false" customHeight="false" outlineLevel="0" collapsed="false">
      <c r="A7" s="27" t="s">
        <v>810</v>
      </c>
      <c r="B7" s="27" t="s"/>
      <c r="C7" s="45" t="s">
        <v>28</v>
      </c>
      <c r="D7" s="44"/>
      <c r="E7" s="30"/>
      <c r="F7" s="31"/>
      <c r="G7" s="45"/>
      <c r="H7" s="78"/>
      <c r="I7" s="33"/>
      <c r="J7" s="34"/>
      <c r="K7" s="34"/>
      <c r="L7" s="34"/>
      <c r="M7" s="34"/>
      <c r="N7" s="34"/>
      <c r="O7" s="34"/>
      <c r="P7" s="82"/>
      <c r="Q7" s="36" t="s">
        <v>811</v>
      </c>
      <c r="R7" s="37" t="s">
        <v>812</v>
      </c>
      <c r="S7" s="46" t="n">
        <v>8</v>
      </c>
      <c r="T7" s="38" t="n">
        <v>9583.2</v>
      </c>
      <c r="U7" s="46"/>
      <c r="V7" s="39"/>
      <c r="W7" s="107" t="n">
        <f aca="false">SUM(E7,S7)</f>
        <v>8</v>
      </c>
      <c r="X7" s="108" t="n">
        <f aca="false">SUM(F7,T7)</f>
        <v>9583.2</v>
      </c>
      <c r="Y7" s="42"/>
      <c r="Z7" s="43" t="n">
        <v>946</v>
      </c>
      <c r="AA7" s="43" t="s">
        <v>813</v>
      </c>
    </row>
    <row r="8" customFormat="false" ht="22.35" hidden="false" customHeight="false" outlineLevel="0" collapsed="false">
      <c r="A8" s="27" t="s">
        <v>813</v>
      </c>
      <c r="B8" s="27" t="s"/>
      <c r="C8" s="45" t="s">
        <v>28</v>
      </c>
      <c r="D8" s="44"/>
      <c r="E8" s="30"/>
      <c r="F8" s="31"/>
      <c r="G8" s="44"/>
      <c r="H8" s="77"/>
      <c r="I8" s="33"/>
      <c r="J8" s="34"/>
      <c r="K8" s="34"/>
      <c r="L8" s="34"/>
      <c r="M8" s="34"/>
      <c r="N8" s="34"/>
      <c r="O8" s="34"/>
      <c r="P8" s="35"/>
      <c r="Q8" s="37" t="s">
        <v>814</v>
      </c>
      <c r="R8" s="46" t="s">
        <v>28</v>
      </c>
      <c r="S8" s="46" t="n">
        <v>1</v>
      </c>
      <c r="T8" s="38" t="n">
        <v>1153.87</v>
      </c>
      <c r="U8" s="46"/>
      <c r="V8" s="39"/>
      <c r="W8" s="107" t="n">
        <f aca="false">SUM(E8,S8)</f>
        <v>1</v>
      </c>
      <c r="X8" s="108" t="n">
        <f aca="false">SUM(F8,T8)</f>
        <v>1153.87</v>
      </c>
      <c r="Y8" s="42"/>
      <c r="Z8" s="43" t="n">
        <v>953</v>
      </c>
      <c r="AA8" s="43" t="s">
        <v>815</v>
      </c>
    </row>
    <row r="9" customFormat="false" ht="22.35" hidden="false" customHeight="false" outlineLevel="0" collapsed="false">
      <c r="A9" s="27" t="s">
        <v>815</v>
      </c>
      <c r="B9" s="27" t="s"/>
      <c r="C9" s="45" t="s">
        <v>28</v>
      </c>
      <c r="D9" s="44"/>
      <c r="E9" s="30"/>
      <c r="F9" s="31"/>
      <c r="G9" s="44"/>
      <c r="H9" s="77"/>
      <c r="I9" s="33"/>
      <c r="J9" s="34"/>
      <c r="K9" s="34"/>
      <c r="L9" s="34"/>
      <c r="M9" s="34"/>
      <c r="N9" s="34"/>
      <c r="O9" s="34"/>
      <c r="P9" s="35"/>
      <c r="Q9" s="94" t="s">
        <v>816</v>
      </c>
      <c r="R9" s="37" t="s">
        <v>817</v>
      </c>
      <c r="S9" s="46" t="n">
        <v>3</v>
      </c>
      <c r="T9" s="38" t="n">
        <v>3824.52</v>
      </c>
      <c r="U9" s="46"/>
      <c r="V9" s="39"/>
      <c r="W9" s="107" t="n">
        <f aca="false">SUM(E9,S9)</f>
        <v>3</v>
      </c>
      <c r="X9" s="108" t="n">
        <f aca="false">SUM(F9,T9)</f>
        <v>3824.52</v>
      </c>
      <c r="Y9" s="42"/>
      <c r="Z9" s="43" t="n">
        <v>960</v>
      </c>
      <c r="AA9" s="43" t="s">
        <v>818</v>
      </c>
    </row>
    <row r="10" customFormat="false" ht="22.35" hidden="false" customHeight="false" outlineLevel="0" collapsed="false">
      <c r="A10" s="27" t="s">
        <v>818</v>
      </c>
      <c r="B10" s="27" t="s"/>
      <c r="C10" s="45" t="s">
        <v>28</v>
      </c>
      <c r="D10" s="44"/>
      <c r="E10" s="30"/>
      <c r="F10" s="31"/>
      <c r="G10" s="44"/>
      <c r="H10" s="77"/>
      <c r="I10" s="33"/>
      <c r="J10" s="34"/>
      <c r="K10" s="34"/>
      <c r="L10" s="34"/>
      <c r="M10" s="34"/>
      <c r="N10" s="34"/>
      <c r="O10" s="34"/>
      <c r="P10" s="35"/>
      <c r="Q10" s="37" t="s">
        <v>819</v>
      </c>
      <c r="R10" s="37" t="s">
        <v>820</v>
      </c>
      <c r="S10" s="46" t="n">
        <v>4</v>
      </c>
      <c r="T10" s="38" t="n">
        <v>6287.43</v>
      </c>
      <c r="U10" s="46"/>
      <c r="V10" s="39"/>
      <c r="W10" s="107" t="n">
        <f aca="false">SUM(E10,S10)</f>
        <v>4</v>
      </c>
      <c r="X10" s="108" t="n">
        <f aca="false">SUM(F10,T10)</f>
        <v>6287.43</v>
      </c>
      <c r="Y10" s="42"/>
      <c r="Z10" s="43" t="n">
        <v>964</v>
      </c>
      <c r="AA10" s="43" t="s">
        <v>821</v>
      </c>
    </row>
    <row r="11" customFormat="false" ht="22.35" hidden="false" customHeight="false" outlineLevel="0" collapsed="false">
      <c r="A11" s="27" t="s">
        <v>822</v>
      </c>
      <c r="B11" s="27" t="s"/>
      <c r="C11" s="45" t="s">
        <v>28</v>
      </c>
      <c r="D11" s="44"/>
      <c r="E11" s="30"/>
      <c r="F11" s="31"/>
      <c r="G11" s="44"/>
      <c r="H11" s="77"/>
      <c r="I11" s="33"/>
      <c r="J11" s="34"/>
      <c r="K11" s="34"/>
      <c r="L11" s="34"/>
      <c r="M11" s="34"/>
      <c r="N11" s="34"/>
      <c r="O11" s="34"/>
      <c r="P11" s="35"/>
      <c r="Q11" s="37" t="s">
        <v>823</v>
      </c>
      <c r="R11" s="37" t="s">
        <v>824</v>
      </c>
      <c r="S11" s="46" t="n">
        <v>2</v>
      </c>
      <c r="T11" s="38" t="n">
        <v>2673.54</v>
      </c>
      <c r="U11" s="46"/>
      <c r="V11" s="39"/>
      <c r="W11" s="107" t="n">
        <f aca="false">SUM(E11,S11)</f>
        <v>2</v>
      </c>
      <c r="X11" s="108" t="n">
        <f aca="false">SUM(F11,T11)</f>
        <v>2673.54</v>
      </c>
      <c r="Y11" s="42"/>
      <c r="Z11" s="43" t="n">
        <v>970</v>
      </c>
      <c r="AA11" s="43" t="s">
        <v>825</v>
      </c>
    </row>
    <row r="12" customFormat="false" ht="22.35" hidden="false" customHeight="false" outlineLevel="0" collapsed="false">
      <c r="A12" s="27" t="s">
        <v>825</v>
      </c>
      <c r="B12" s="27" t="s"/>
      <c r="C12" s="45" t="s">
        <v>28</v>
      </c>
      <c r="D12" s="44"/>
      <c r="E12" s="30"/>
      <c r="F12" s="31"/>
      <c r="G12" s="44"/>
      <c r="H12" s="77"/>
      <c r="I12" s="33"/>
      <c r="J12" s="34"/>
      <c r="K12" s="34"/>
      <c r="L12" s="34"/>
      <c r="M12" s="34"/>
      <c r="N12" s="34"/>
      <c r="O12" s="34"/>
      <c r="P12" s="35"/>
      <c r="Q12" s="37" t="s">
        <v>826</v>
      </c>
      <c r="R12" s="37" t="s">
        <v>827</v>
      </c>
      <c r="S12" s="46" t="n">
        <v>2</v>
      </c>
      <c r="T12" s="38" t="n">
        <v>5798.39</v>
      </c>
      <c r="U12" s="46"/>
      <c r="V12" s="39"/>
      <c r="W12" s="107" t="n">
        <f aca="false">SUM(E12,S12)</f>
        <v>2</v>
      </c>
      <c r="X12" s="108" t="n">
        <f aca="false">SUM(F12,T12)</f>
        <v>5798.39</v>
      </c>
      <c r="Y12" s="42"/>
      <c r="Z12" s="43" t="n">
        <v>976</v>
      </c>
      <c r="AA12" s="43" t="s">
        <v>828</v>
      </c>
    </row>
    <row r="13" customFormat="false" ht="22.35" hidden="false" customHeight="false" outlineLevel="0" collapsed="false">
      <c r="A13" s="27" t="s">
        <v>829</v>
      </c>
      <c r="B13" s="27" t="s"/>
      <c r="C13" s="45" t="s">
        <v>28</v>
      </c>
      <c r="D13" s="44"/>
      <c r="E13" s="30"/>
      <c r="F13" s="31"/>
      <c r="G13" s="44"/>
      <c r="H13" s="77"/>
      <c r="I13" s="33"/>
      <c r="J13" s="34"/>
      <c r="K13" s="34"/>
      <c r="L13" s="34"/>
      <c r="M13" s="34"/>
      <c r="N13" s="34"/>
      <c r="O13" s="34"/>
      <c r="P13" s="35"/>
      <c r="Q13" s="37" t="s">
        <v>830</v>
      </c>
      <c r="R13" s="37" t="s">
        <v>831</v>
      </c>
      <c r="S13" s="46" t="n">
        <v>2</v>
      </c>
      <c r="T13" s="38" t="n">
        <v>3041.3</v>
      </c>
      <c r="U13" s="46"/>
      <c r="V13" s="39"/>
      <c r="W13" s="107" t="n">
        <f aca="false">SUM(E13,S13)</f>
        <v>2</v>
      </c>
      <c r="X13" s="108" t="n">
        <f aca="false">SUM(F13,T13)</f>
        <v>3041.3</v>
      </c>
      <c r="Y13" s="42"/>
      <c r="Z13" s="43" t="n">
        <v>982</v>
      </c>
      <c r="AA13" s="43" t="s">
        <v>832</v>
      </c>
    </row>
    <row r="14" customFormat="false" ht="22.35" hidden="false" customHeight="false" outlineLevel="0" collapsed="false">
      <c r="A14" s="27" t="s">
        <v>832</v>
      </c>
      <c r="B14" s="27" t="s"/>
      <c r="C14" s="28" t="s">
        <v>833</v>
      </c>
      <c r="D14" s="29" t="s">
        <v>834</v>
      </c>
      <c r="E14" s="30" t="n">
        <v>2</v>
      </c>
      <c r="F14" s="31" t="n">
        <v>400</v>
      </c>
      <c r="G14" s="44"/>
      <c r="H14" s="77"/>
      <c r="I14" s="33"/>
      <c r="J14" s="34"/>
      <c r="K14" s="34"/>
      <c r="L14" s="48"/>
      <c r="M14" s="34"/>
      <c r="N14" s="34"/>
      <c r="O14" s="34"/>
      <c r="P14" s="35"/>
      <c r="Q14" s="37" t="s">
        <v>835</v>
      </c>
      <c r="R14" s="46" t="s">
        <v>28</v>
      </c>
      <c r="S14" s="46" t="n">
        <v>1</v>
      </c>
      <c r="T14" s="38" t="n">
        <v>1162.58</v>
      </c>
      <c r="U14" s="46"/>
      <c r="V14" s="39"/>
      <c r="W14" s="107" t="n">
        <f aca="false">SUM(E14,S14)</f>
        <v>3</v>
      </c>
      <c r="X14" s="108" t="n">
        <f aca="false">SUM(F14,T14)</f>
        <v>1562.58</v>
      </c>
      <c r="Y14" s="42"/>
      <c r="Z14" s="43" t="n">
        <v>989</v>
      </c>
      <c r="AA14" s="43" t="s">
        <v>836</v>
      </c>
    </row>
    <row r="15" customFormat="false" ht="22.35" hidden="false" customHeight="false" outlineLevel="0" collapsed="false">
      <c r="A15" s="27" t="s">
        <v>837</v>
      </c>
      <c r="B15" s="27" t="s"/>
      <c r="C15" s="28" t="s">
        <v>838</v>
      </c>
      <c r="D15" s="29" t="s">
        <v>839</v>
      </c>
      <c r="E15" s="30" t="n">
        <v>2</v>
      </c>
      <c r="F15" s="31" t="n">
        <v>400</v>
      </c>
      <c r="G15" s="44"/>
      <c r="H15" s="77"/>
      <c r="I15" s="33"/>
      <c r="J15" s="34"/>
      <c r="K15" s="34"/>
      <c r="L15" s="48"/>
      <c r="M15" s="34"/>
      <c r="N15" s="34"/>
      <c r="O15" s="34"/>
      <c r="P15" s="35"/>
      <c r="Q15" s="37" t="s">
        <v>840</v>
      </c>
      <c r="R15" s="37" t="s">
        <v>841</v>
      </c>
      <c r="S15" s="46" t="n">
        <v>8</v>
      </c>
      <c r="T15" s="38" t="n">
        <v>10948.3</v>
      </c>
      <c r="U15" s="46"/>
      <c r="V15" s="39"/>
      <c r="W15" s="107" t="n">
        <f aca="false">SUM(E15,S15)</f>
        <v>10</v>
      </c>
      <c r="X15" s="108" t="n">
        <f aca="false">SUM(F15,T15)</f>
        <v>11348.3</v>
      </c>
      <c r="Y15" s="42"/>
      <c r="Z15" s="43" t="n">
        <v>1000</v>
      </c>
      <c r="AA15" s="43" t="s">
        <v>842</v>
      </c>
    </row>
    <row r="16" customFormat="false" ht="22.35" hidden="false" customHeight="false" outlineLevel="0" collapsed="false">
      <c r="A16" s="27" t="s">
        <v>842</v>
      </c>
      <c r="B16" s="27" t="s"/>
      <c r="C16" s="28" t="s">
        <v>843</v>
      </c>
      <c r="D16" s="44" t="s">
        <v>28</v>
      </c>
      <c r="E16" s="30" t="n">
        <v>1</v>
      </c>
      <c r="F16" s="31" t="n">
        <v>500</v>
      </c>
      <c r="G16" s="44"/>
      <c r="H16" s="77"/>
      <c r="I16" s="33"/>
      <c r="J16" s="34"/>
      <c r="K16" s="34"/>
      <c r="L16" s="34"/>
      <c r="M16" s="34"/>
      <c r="N16" s="34"/>
      <c r="O16" s="34"/>
      <c r="P16" s="35"/>
      <c r="Q16" s="37" t="s">
        <v>844</v>
      </c>
      <c r="R16" s="37" t="s">
        <v>845</v>
      </c>
      <c r="S16" s="46" t="n">
        <v>5</v>
      </c>
      <c r="T16" s="38" t="n">
        <v>8860.64</v>
      </c>
      <c r="U16" s="46"/>
      <c r="V16" s="39"/>
      <c r="W16" s="107" t="n">
        <f aca="false">SUM(E16,S16)</f>
        <v>6</v>
      </c>
      <c r="X16" s="108" t="n">
        <f aca="false">SUM(F16,T16)</f>
        <v>9360.64</v>
      </c>
      <c r="Y16" s="42"/>
      <c r="Z16" s="43" t="n">
        <v>1006</v>
      </c>
      <c r="AA16" s="43" t="s">
        <v>846</v>
      </c>
    </row>
    <row r="17" customFormat="false" ht="22.35" hidden="false" customHeight="false" outlineLevel="0" collapsed="false">
      <c r="A17" s="27" t="s">
        <v>846</v>
      </c>
      <c r="B17" s="27" t="s"/>
      <c r="C17" s="45" t="s">
        <v>28</v>
      </c>
      <c r="D17" s="45"/>
      <c r="E17" s="30"/>
      <c r="F17" s="31"/>
      <c r="G17" s="44"/>
      <c r="H17" s="77"/>
      <c r="I17" s="33"/>
      <c r="J17" s="34"/>
      <c r="K17" s="34"/>
      <c r="L17" s="34"/>
      <c r="M17" s="34"/>
      <c r="N17" s="34"/>
      <c r="O17" s="34"/>
      <c r="P17" s="35"/>
      <c r="Q17" s="37" t="s">
        <v>847</v>
      </c>
      <c r="R17" s="37" t="s">
        <v>848</v>
      </c>
      <c r="S17" s="46" t="n">
        <v>8</v>
      </c>
      <c r="T17" s="38" t="n">
        <v>12373.3</v>
      </c>
      <c r="U17" s="46"/>
      <c r="V17" s="39"/>
      <c r="W17" s="107" t="n">
        <f aca="false">SUM(E17,S17)</f>
        <v>8</v>
      </c>
      <c r="X17" s="108" t="n">
        <f aca="false">SUM(F17,T17)</f>
        <v>12373.3</v>
      </c>
      <c r="Y17" s="42"/>
      <c r="Z17" s="43" t="n">
        <v>1011</v>
      </c>
      <c r="AA17" s="43" t="s">
        <v>849</v>
      </c>
    </row>
    <row r="18" customFormat="false" ht="22.35" hidden="false" customHeight="false" outlineLevel="0" collapsed="false">
      <c r="A18" s="27" t="s">
        <v>849</v>
      </c>
      <c r="B18" s="27" t="s"/>
      <c r="C18" s="28" t="s">
        <v>850</v>
      </c>
      <c r="D18" s="29" t="s">
        <v>851</v>
      </c>
      <c r="E18" s="30" t="n">
        <v>2</v>
      </c>
      <c r="F18" s="31" t="n">
        <v>400</v>
      </c>
      <c r="G18" s="44"/>
      <c r="H18" s="77"/>
      <c r="I18" s="33"/>
      <c r="J18" s="34"/>
      <c r="K18" s="34"/>
      <c r="L18" s="34"/>
      <c r="M18" s="34"/>
      <c r="N18" s="34"/>
      <c r="O18" s="34"/>
      <c r="P18" s="35"/>
      <c r="Q18" s="36" t="s">
        <v>852</v>
      </c>
      <c r="R18" s="37" t="s">
        <v>853</v>
      </c>
      <c r="S18" s="46" t="n">
        <v>4</v>
      </c>
      <c r="T18" s="38" t="n">
        <v>6893.49</v>
      </c>
      <c r="U18" s="46"/>
      <c r="V18" s="39"/>
      <c r="W18" s="107" t="n">
        <f aca="false">SUM(E18,S18)</f>
        <v>6</v>
      </c>
      <c r="X18" s="108" t="n">
        <f aca="false">SUM(F18,T18)</f>
        <v>7293.49</v>
      </c>
      <c r="Y18" s="42"/>
      <c r="Z18" s="43" t="n">
        <v>1017</v>
      </c>
      <c r="AA18" s="43" t="s">
        <v>854</v>
      </c>
    </row>
    <row r="19" customFormat="false" ht="22.35" hidden="false" customHeight="false" outlineLevel="0" collapsed="false">
      <c r="A19" s="27" t="s">
        <v>854</v>
      </c>
      <c r="B19" s="27" t="s"/>
      <c r="C19" s="45" t="s">
        <v>28</v>
      </c>
      <c r="D19" s="44"/>
      <c r="E19" s="30"/>
      <c r="F19" s="31"/>
      <c r="G19" s="44"/>
      <c r="H19" s="77"/>
      <c r="I19" s="33"/>
      <c r="J19" s="34"/>
      <c r="K19" s="34"/>
      <c r="L19" s="34"/>
      <c r="M19" s="34"/>
      <c r="N19" s="34"/>
      <c r="O19" s="34"/>
      <c r="P19" s="35"/>
      <c r="Q19" s="36" t="s">
        <v>855</v>
      </c>
      <c r="R19" s="37" t="s">
        <v>856</v>
      </c>
      <c r="S19" s="46" t="n">
        <v>6</v>
      </c>
      <c r="T19" s="38" t="n">
        <v>8563.59</v>
      </c>
      <c r="U19" s="46"/>
      <c r="V19" s="39"/>
      <c r="W19" s="107" t="n">
        <f aca="false">SUM(E19,S19)</f>
        <v>6</v>
      </c>
      <c r="X19" s="108" t="n">
        <f aca="false">SUM(F19,T19)</f>
        <v>8563.59</v>
      </c>
      <c r="Y19" s="42"/>
      <c r="Z19" s="43" t="n">
        <v>1022</v>
      </c>
      <c r="AA19" s="43" t="s">
        <v>857</v>
      </c>
    </row>
    <row r="20" customFormat="false" ht="22.35" hidden="false" customHeight="false" outlineLevel="0" collapsed="false">
      <c r="A20" s="27" t="s">
        <v>858</v>
      </c>
      <c r="B20" s="27" t="s"/>
      <c r="C20" s="45" t="s">
        <v>28</v>
      </c>
      <c r="D20" s="44"/>
      <c r="E20" s="30"/>
      <c r="F20" s="31"/>
      <c r="G20" s="44"/>
      <c r="H20" s="77"/>
      <c r="I20" s="33"/>
      <c r="J20" s="34"/>
      <c r="K20" s="34"/>
      <c r="L20" s="34"/>
      <c r="M20" s="34"/>
      <c r="N20" s="34"/>
      <c r="O20" s="34"/>
      <c r="P20" s="35"/>
      <c r="Q20" s="97" t="s">
        <v>859</v>
      </c>
      <c r="R20" s="97" t="s">
        <v>860</v>
      </c>
      <c r="S20" s="46" t="n">
        <v>9</v>
      </c>
      <c r="T20" s="38" t="n">
        <v>13307.34</v>
      </c>
      <c r="U20" s="46"/>
      <c r="V20" s="39"/>
      <c r="W20" s="107" t="n">
        <f aca="false">SUM(E20,S20)</f>
        <v>9</v>
      </c>
      <c r="X20" s="108" t="n">
        <f aca="false">SUM(F20,T20)</f>
        <v>13307.34</v>
      </c>
      <c r="Y20" s="42"/>
      <c r="Z20" s="43" t="n">
        <v>1030</v>
      </c>
      <c r="AA20" s="43" t="s">
        <v>861</v>
      </c>
    </row>
    <row r="21" customFormat="false" ht="22.35" hidden="false" customHeight="false" outlineLevel="0" collapsed="false">
      <c r="A21" s="27" t="s">
        <v>861</v>
      </c>
      <c r="B21" s="27" t="s"/>
      <c r="C21" s="45" t="s">
        <v>28</v>
      </c>
      <c r="D21" s="44"/>
      <c r="E21" s="30"/>
      <c r="F21" s="31"/>
      <c r="G21" s="44"/>
      <c r="H21" s="77"/>
      <c r="I21" s="33"/>
      <c r="J21" s="34"/>
      <c r="K21" s="34"/>
      <c r="L21" s="34"/>
      <c r="M21" s="34"/>
      <c r="N21" s="34"/>
      <c r="O21" s="34"/>
      <c r="P21" s="35"/>
      <c r="Q21" s="97" t="s">
        <v>862</v>
      </c>
      <c r="R21" s="97" t="s">
        <v>863</v>
      </c>
      <c r="S21" s="46" t="n">
        <v>13</v>
      </c>
      <c r="T21" s="38" t="n">
        <v>16331.99</v>
      </c>
      <c r="U21" s="46"/>
      <c r="V21" s="39"/>
      <c r="W21" s="107" t="n">
        <f aca="false">SUM(E21,S21)</f>
        <v>13</v>
      </c>
      <c r="X21" s="108" t="n">
        <f aca="false">SUM(F21,T21)</f>
        <v>16331.99</v>
      </c>
      <c r="Y21" s="42"/>
      <c r="Z21" s="43" t="n">
        <v>1034</v>
      </c>
      <c r="AA21" s="43" t="s">
        <v>864</v>
      </c>
    </row>
    <row r="22" customFormat="false" ht="22.35" hidden="false" customHeight="false" outlineLevel="0" collapsed="false">
      <c r="A22" s="27" t="s">
        <v>864</v>
      </c>
      <c r="B22" s="27" t="s"/>
      <c r="C22" s="45" t="s">
        <v>28</v>
      </c>
      <c r="D22" s="44"/>
      <c r="E22" s="30"/>
      <c r="F22" s="31"/>
      <c r="G22" s="44"/>
      <c r="H22" s="77"/>
      <c r="I22" s="33"/>
      <c r="J22" s="34"/>
      <c r="K22" s="34"/>
      <c r="L22" s="34"/>
      <c r="M22" s="34"/>
      <c r="N22" s="34"/>
      <c r="O22" s="34"/>
      <c r="P22" s="35"/>
      <c r="Q22" s="97" t="s">
        <v>865</v>
      </c>
      <c r="R22" s="97" t="s">
        <v>866</v>
      </c>
      <c r="S22" s="46" t="n">
        <v>6</v>
      </c>
      <c r="T22" s="38" t="n">
        <v>7045.14</v>
      </c>
      <c r="U22" s="46"/>
      <c r="V22" s="39"/>
      <c r="W22" s="107" t="n">
        <f aca="false">SUM(E22,S22)</f>
        <v>6</v>
      </c>
      <c r="X22" s="108" t="n">
        <f aca="false">SUM(F22,T22)</f>
        <v>7045.14</v>
      </c>
      <c r="Y22" s="42"/>
      <c r="Z22" s="43" t="n">
        <v>1046</v>
      </c>
      <c r="AA22" s="43" t="s">
        <v>867</v>
      </c>
    </row>
    <row r="23" customFormat="false" ht="22.35" hidden="false" customHeight="false" outlineLevel="0" collapsed="false">
      <c r="A23" s="27" t="s">
        <v>867</v>
      </c>
      <c r="B23" s="27" t="s"/>
      <c r="C23" s="28" t="s">
        <v>868</v>
      </c>
      <c r="D23" s="44"/>
      <c r="E23" s="30" t="n">
        <v>1</v>
      </c>
      <c r="F23" s="31" t="n">
        <v>720</v>
      </c>
      <c r="G23" s="44"/>
      <c r="H23" s="77"/>
      <c r="I23" s="33"/>
      <c r="J23" s="34"/>
      <c r="K23" s="34"/>
      <c r="L23" s="34"/>
      <c r="M23" s="34"/>
      <c r="N23" s="34"/>
      <c r="O23" s="34"/>
      <c r="P23" s="35"/>
      <c r="Q23" s="97" t="s">
        <v>869</v>
      </c>
      <c r="R23" s="97" t="s">
        <v>870</v>
      </c>
      <c r="S23" s="46" t="n">
        <v>9</v>
      </c>
      <c r="T23" s="38" t="n">
        <v>19170.03</v>
      </c>
      <c r="U23" s="46"/>
      <c r="V23" s="39"/>
      <c r="W23" s="107" t="n">
        <f aca="false">SUM(E23,S23)</f>
        <v>10</v>
      </c>
      <c r="X23" s="108" t="n">
        <f aca="false">SUM(F23,T23)</f>
        <v>19890.03</v>
      </c>
      <c r="Y23" s="42"/>
      <c r="Z23" s="43" t="n">
        <v>1052</v>
      </c>
      <c r="AA23" s="43" t="s">
        <v>871</v>
      </c>
    </row>
    <row r="24" customFormat="false" ht="22.35" hidden="false" customHeight="false" outlineLevel="0" collapsed="false">
      <c r="A24" s="27" t="s">
        <v>871</v>
      </c>
      <c r="B24" s="27" t="s"/>
      <c r="C24" s="28" t="s">
        <v>872</v>
      </c>
      <c r="D24" s="29" t="s">
        <v>873</v>
      </c>
      <c r="E24" s="30" t="n">
        <v>2</v>
      </c>
      <c r="F24" s="31" t="n">
        <v>2700</v>
      </c>
      <c r="G24" s="44"/>
      <c r="H24" s="77"/>
      <c r="I24" s="33"/>
      <c r="J24" s="34"/>
      <c r="K24" s="34"/>
      <c r="L24" s="34"/>
      <c r="M24" s="34"/>
      <c r="N24" s="34"/>
      <c r="O24" s="34"/>
      <c r="P24" s="35"/>
      <c r="Q24" s="97" t="s">
        <v>874</v>
      </c>
      <c r="R24" s="97" t="s">
        <v>875</v>
      </c>
      <c r="S24" s="46" t="n">
        <v>4</v>
      </c>
      <c r="T24" s="38" t="n">
        <v>4704.52</v>
      </c>
      <c r="U24" s="46"/>
      <c r="V24" s="39"/>
      <c r="W24" s="107" t="n">
        <f aca="false">SUM(E24,S24)</f>
        <v>6</v>
      </c>
      <c r="X24" s="108" t="n">
        <f aca="false">SUM(F24,T24)</f>
        <v>7404.52</v>
      </c>
      <c r="Y24" s="42"/>
      <c r="Z24" s="43" t="n">
        <v>1058</v>
      </c>
      <c r="AA24" s="43" t="s">
        <v>876</v>
      </c>
    </row>
    <row r="25" customFormat="false" ht="22.35" hidden="false" customHeight="false" outlineLevel="0" collapsed="false">
      <c r="A25" s="27" t="s">
        <v>877</v>
      </c>
      <c r="B25" s="27" t="s"/>
      <c r="C25" s="28" t="s">
        <v>878</v>
      </c>
      <c r="D25" s="44" t="s">
        <v>28</v>
      </c>
      <c r="E25" s="30" t="n">
        <v>1</v>
      </c>
      <c r="F25" s="31" t="n">
        <v>500</v>
      </c>
      <c r="G25" s="44"/>
      <c r="H25" s="77"/>
      <c r="I25" s="33"/>
      <c r="J25" s="34"/>
      <c r="K25" s="34"/>
      <c r="L25" s="34"/>
      <c r="M25" s="34"/>
      <c r="N25" s="34"/>
      <c r="O25" s="34"/>
      <c r="P25" s="35"/>
      <c r="Q25" s="97" t="s">
        <v>879</v>
      </c>
      <c r="R25" s="97" t="s">
        <v>880</v>
      </c>
      <c r="S25" s="46" t="n">
        <v>13</v>
      </c>
      <c r="T25" s="38" t="n">
        <v>21910.66</v>
      </c>
      <c r="U25" s="46"/>
      <c r="V25" s="39"/>
      <c r="W25" s="107" t="n">
        <f aca="false">SUM(E25,S25)</f>
        <v>14</v>
      </c>
      <c r="X25" s="108" t="n">
        <f aca="false">SUM(F25,T25)</f>
        <v>22410.66</v>
      </c>
      <c r="Y25" s="42"/>
      <c r="Z25" s="43" t="n">
        <v>1065</v>
      </c>
      <c r="AA25" s="43" t="s">
        <v>881</v>
      </c>
    </row>
    <row r="26" customFormat="false" ht="22.35" hidden="false" customHeight="false" outlineLevel="0" collapsed="false">
      <c r="A26" s="27" t="s">
        <v>881</v>
      </c>
      <c r="B26" s="27" t="s"/>
      <c r="C26" s="28" t="s">
        <v>882</v>
      </c>
      <c r="D26" s="44" t="s">
        <v>28</v>
      </c>
      <c r="E26" s="30" t="n">
        <v>1</v>
      </c>
      <c r="F26" s="31" t="n">
        <v>3400</v>
      </c>
      <c r="G26" s="44"/>
      <c r="H26" s="77"/>
      <c r="I26" s="33"/>
      <c r="J26" s="34"/>
      <c r="K26" s="34"/>
      <c r="L26" s="34"/>
      <c r="M26" s="34"/>
      <c r="N26" s="34"/>
      <c r="O26" s="34"/>
      <c r="P26" s="35"/>
      <c r="Q26" s="97" t="s">
        <v>883</v>
      </c>
      <c r="R26" s="37" t="s">
        <v>884</v>
      </c>
      <c r="S26" s="46" t="n">
        <v>12</v>
      </c>
      <c r="T26" s="38" t="n">
        <v>14874</v>
      </c>
      <c r="U26" s="46"/>
      <c r="V26" s="39"/>
      <c r="W26" s="107" t="n">
        <f aca="false">SUM(E26,S26)</f>
        <v>13</v>
      </c>
      <c r="X26" s="108" t="n">
        <f aca="false">SUM(F26,T26)</f>
        <v>18274</v>
      </c>
      <c r="Y26" s="42"/>
      <c r="Z26" s="43" t="n">
        <v>1072</v>
      </c>
      <c r="AA26" s="43" t="s">
        <v>885</v>
      </c>
    </row>
    <row r="27" customFormat="false" ht="19.7" hidden="false" customHeight="false" outlineLevel="0" collapsed="false">
      <c r="A27" s="85" t="s">
        <v>96</v>
      </c>
      <c r="B27" s="85" t="s"/>
      <c r="C27" s="85"/>
      <c r="D27" s="85"/>
      <c r="E27" s="86" t="n">
        <f aca="false">SUM(E6:E26)</f>
        <v>12</v>
      </c>
      <c r="F27" s="87" t="n">
        <f aca="false">SUM(F6:F26)</f>
        <v>9020</v>
      </c>
      <c r="G27" s="88"/>
      <c r="H27" s="89"/>
      <c r="I27" s="90" t="s">
        <v>96</v>
      </c>
      <c r="J27" s="90"/>
      <c r="K27" s="90"/>
      <c r="L27" s="90"/>
      <c r="M27" s="88"/>
      <c r="N27" s="88"/>
      <c r="O27" s="88"/>
      <c r="P27" s="100"/>
      <c r="Q27" s="110" t="s">
        <v>96</v>
      </c>
      <c r="R27" s="110"/>
      <c r="S27" s="111" t="n">
        <f aca="false">SUM(S6:S26)</f>
        <v>130</v>
      </c>
      <c r="T27" s="112" t="n">
        <f aca="false">SUM(T6:T26)</f>
        <v>190617.83</v>
      </c>
      <c r="U27" s="113" t="n">
        <f aca="false">SUM(U6:U26)</f>
        <v>0</v>
      </c>
      <c r="V27" s="114" t="n">
        <f aca="false">SUM(V6:V26)</f>
        <v>0</v>
      </c>
      <c r="W27" s="115" t="n">
        <f aca="false">SUM(W6:W26)</f>
        <v>142</v>
      </c>
      <c r="X27" s="116" t="n">
        <f aca="false">SUM(X6:X26)</f>
        <v>199637.83</v>
      </c>
      <c r="Y27" s="117"/>
      <c r="Z27" s="117"/>
      <c r="AA27" s="117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104"/>
      <c r="X29" s="2"/>
      <c r="Y29" s="2"/>
      <c r="Z29" s="2"/>
      <c r="AA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30">
    <mergeCell ref="A1:AA1"/>
    <mergeCell ref="A3:A5"/>
    <mergeCell ref="C3:H3"/>
    <mergeCell ref="I3:P3"/>
    <mergeCell ref="Q3:V3"/>
    <mergeCell ref="W3:X3"/>
    <mergeCell ref="Y3:Y5"/>
    <mergeCell ref="Z3:Z5"/>
    <mergeCell ref="AA3:AA5"/>
    <mergeCell ref="C4:C5"/>
    <mergeCell ref="D4:D5"/>
    <mergeCell ref="E4:E5"/>
    <mergeCell ref="F4:F5"/>
    <mergeCell ref="G4:H4"/>
    <mergeCell ref="I4:J5"/>
    <mergeCell ref="K4:K5"/>
    <mergeCell ref="L4:L5"/>
    <mergeCell ref="M4:M5"/>
    <mergeCell ref="N4:N5"/>
    <mergeCell ref="O4:P4"/>
    <mergeCell ref="Q4:Q5"/>
    <mergeCell ref="R4:R5"/>
    <mergeCell ref="S4:S5"/>
    <mergeCell ref="T4:T5"/>
    <mergeCell ref="U4:V4"/>
    <mergeCell ref="W4:W5"/>
    <mergeCell ref="X4:X5"/>
    <mergeCell ref="A27:D27"/>
    <mergeCell ref="I27:L27"/>
    <mergeCell ref="Q27:R27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>
  <sheetPr filterMode="false">
    <outlinePr summaryBelow="0"/>
    <pageSetUpPr fitToPage="true"/>
  </sheetPr>
  <dimension ref="A1:AA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63"/>
    <col collapsed="false" customWidth="true" hidden="false" outlineLevel="0" style="0" width="18.63" min="2" max="2"/>
    <col collapsed="false" customWidth="true" hidden="false" outlineLevel="0" max="7" min="7" style="0" width="14.63"/>
    <col collapsed="false" customWidth="true" hidden="false" outlineLevel="0" max="8" min="8" style="0" width="17.5"/>
    <col collapsed="false" customWidth="false" hidden="true" outlineLevel="0" max="16" min="9" style="0" width="12.63"/>
    <col collapsed="false" customWidth="true" hidden="false" outlineLevel="0" max="23" min="23" style="0" width="14.88"/>
    <col collapsed="false" customWidth="true" hidden="false" outlineLevel="0" max="24" min="24" style="0" width="12.5"/>
  </cols>
  <sheetData>
    <row r="1" customFormat="false" ht="26.1" hidden="false" customHeight="false" outlineLevel="0" collapsed="false">
      <c r="A1" s="1" t="s">
        <v>886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2.35" hidden="false" customHeight="true" outlineLevel="0" collapsed="false">
      <c r="A3" s="3" t="s">
        <v>1</v>
      </c>
      <c r="B3" s="3" t="inlineStr">
        <is>
          <t>ข้อมูลกฎหมาย</t>
        </is>
      </c>
      <c r="C3" s="4" t="s">
        <v>2</v>
      </c>
      <c r="D3" s="4"/>
      <c r="E3" s="4"/>
      <c r="F3" s="4"/>
      <c r="G3" s="4"/>
      <c r="H3" s="4"/>
      <c r="I3" s="5" t="s">
        <v>3</v>
      </c>
      <c r="J3" s="5"/>
      <c r="K3" s="5"/>
      <c r="L3" s="5"/>
      <c r="M3" s="5"/>
      <c r="N3" s="5"/>
      <c r="O3" s="5"/>
      <c r="P3" s="5"/>
      <c r="Q3" s="6" t="s">
        <v>4</v>
      </c>
      <c r="R3" s="6"/>
      <c r="S3" s="6"/>
      <c r="T3" s="6"/>
      <c r="U3" s="6"/>
      <c r="V3" s="6"/>
      <c r="W3" s="7" t="s">
        <v>5</v>
      </c>
      <c r="X3" s="7"/>
      <c r="Y3" s="8" t="s">
        <v>6</v>
      </c>
      <c r="Z3" s="9" t="s">
        <v>7</v>
      </c>
      <c r="AA3" s="10" t="s">
        <v>8</v>
      </c>
    </row>
    <row r="4" customFormat="false" ht="22.35" hidden="false" customHeight="false" outlineLevel="0" collapsed="false">
      <c r="A4" s="3"/>
      <c r="B4" s="3" t="inlineStr">
        <is>
          <t>กฎหมาย</t>
        </is>
      </c>
      <c r="C4" s="11" t="s">
        <v>9</v>
      </c>
      <c r="D4" s="12" t="s">
        <v>10</v>
      </c>
      <c r="E4" s="12" t="s">
        <v>11</v>
      </c>
      <c r="F4" s="13" t="s">
        <v>12</v>
      </c>
      <c r="G4" s="14" t="s">
        <v>13</v>
      </c>
      <c r="H4" s="14"/>
      <c r="I4" s="15" t="s">
        <v>14</v>
      </c>
      <c r="J4" s="15"/>
      <c r="K4" s="16" t="s">
        <v>9</v>
      </c>
      <c r="L4" s="16" t="s">
        <v>10</v>
      </c>
      <c r="M4" s="17" t="s">
        <v>11</v>
      </c>
      <c r="N4" s="18" t="s">
        <v>12</v>
      </c>
      <c r="O4" s="19" t="s">
        <v>13</v>
      </c>
      <c r="P4" s="19"/>
      <c r="Q4" s="20" t="s">
        <v>9</v>
      </c>
      <c r="R4" s="21" t="s">
        <v>10</v>
      </c>
      <c r="S4" s="22" t="s">
        <v>11</v>
      </c>
      <c r="T4" s="21" t="s">
        <v>12</v>
      </c>
      <c r="U4" s="23" t="s">
        <v>15</v>
      </c>
      <c r="V4" s="23"/>
      <c r="W4" s="24" t="s">
        <v>16</v>
      </c>
      <c r="X4" s="25" t="s">
        <v>17</v>
      </c>
      <c r="Y4" s="8"/>
      <c r="Z4" s="9"/>
      <c r="AA4" s="9"/>
    </row>
    <row r="5" customFormat="false" ht="19.7" hidden="false" customHeight="false" outlineLevel="0" collapsed="false">
      <c r="A5" s="3"/>
      <c r="B5" s="3"/>
      <c r="C5" s="11"/>
      <c r="D5" s="12"/>
      <c r="E5" s="12"/>
      <c r="F5" s="12"/>
      <c r="G5" s="26" t="s">
        <v>11</v>
      </c>
      <c r="H5" s="14" t="s">
        <v>18</v>
      </c>
      <c r="I5" s="15"/>
      <c r="J5" s="15"/>
      <c r="K5" s="16"/>
      <c r="L5" s="16"/>
      <c r="M5" s="16"/>
      <c r="N5" s="16"/>
      <c r="O5" s="17" t="s">
        <v>11</v>
      </c>
      <c r="P5" s="19" t="s">
        <v>18</v>
      </c>
      <c r="Q5" s="20"/>
      <c r="R5" s="21"/>
      <c r="S5" s="21"/>
      <c r="T5" s="21"/>
      <c r="U5" s="22" t="s">
        <v>11</v>
      </c>
      <c r="V5" s="23" t="s">
        <v>18</v>
      </c>
      <c r="W5" s="24"/>
      <c r="X5" s="25"/>
      <c r="Y5" s="8"/>
      <c r="Z5" s="9"/>
      <c r="AA5" s="9"/>
    </row>
    <row r="6" customFormat="false" ht="22.35" hidden="false" customHeight="false" outlineLevel="0" collapsed="false">
      <c r="A6" s="27" t="s">
        <v>887</v>
      </c>
      <c r="B6" s="27" t="s"/>
      <c r="C6" s="28" t="s">
        <v>888</v>
      </c>
      <c r="D6" s="45" t="s">
        <v>28</v>
      </c>
      <c r="E6" s="30" t="n">
        <v>1</v>
      </c>
      <c r="F6" s="31" t="n">
        <v>200</v>
      </c>
      <c r="G6" s="44"/>
      <c r="H6" s="77"/>
      <c r="I6" s="33"/>
      <c r="J6" s="34"/>
      <c r="K6" s="34"/>
      <c r="L6" s="34"/>
      <c r="M6" s="34"/>
      <c r="N6" s="34"/>
      <c r="O6" s="34"/>
      <c r="P6" s="35"/>
      <c r="Q6" s="37" t="s">
        <v>889</v>
      </c>
      <c r="R6" s="37" t="s">
        <v>890</v>
      </c>
      <c r="S6" s="46" t="n">
        <v>11</v>
      </c>
      <c r="T6" s="38" t="n">
        <v>15511</v>
      </c>
      <c r="U6" s="46"/>
      <c r="V6" s="106"/>
      <c r="W6" s="107" t="n">
        <f aca="false">SUM(E6,S6)</f>
        <v>12</v>
      </c>
      <c r="X6" s="108" t="n">
        <f aca="false">SUM(F6,T6)</f>
        <v>15711</v>
      </c>
      <c r="Y6" s="109"/>
      <c r="Z6" s="43" t="n">
        <v>1084</v>
      </c>
      <c r="AA6" s="43" t="s">
        <v>891</v>
      </c>
    </row>
    <row r="7" customFormat="false" ht="22.35" hidden="false" customHeight="false" outlineLevel="0" collapsed="false">
      <c r="A7" s="27" t="s">
        <v>892</v>
      </c>
      <c r="B7" s="27" t="s"/>
      <c r="C7" s="45" t="s">
        <v>28</v>
      </c>
      <c r="D7" s="44"/>
      <c r="E7" s="30"/>
      <c r="F7" s="31"/>
      <c r="G7" s="45"/>
      <c r="H7" s="78"/>
      <c r="I7" s="33"/>
      <c r="J7" s="34"/>
      <c r="K7" s="34"/>
      <c r="L7" s="34"/>
      <c r="M7" s="34"/>
      <c r="N7" s="34"/>
      <c r="O7" s="34"/>
      <c r="P7" s="82"/>
      <c r="Q7" s="36" t="s">
        <v>893</v>
      </c>
      <c r="R7" s="37" t="s">
        <v>894</v>
      </c>
      <c r="S7" s="46" t="n">
        <v>4</v>
      </c>
      <c r="T7" s="38" t="n">
        <v>4728</v>
      </c>
      <c r="U7" s="46"/>
      <c r="V7" s="39"/>
      <c r="W7" s="107" t="n">
        <f aca="false">SUM(E7,S7)</f>
        <v>4</v>
      </c>
      <c r="X7" s="108" t="n">
        <f aca="false">SUM(F7,T7)</f>
        <v>4728</v>
      </c>
      <c r="Y7" s="42"/>
      <c r="Z7" s="43" t="n">
        <v>1090</v>
      </c>
      <c r="AA7" s="43" t="s">
        <v>895</v>
      </c>
    </row>
    <row r="8" customFormat="false" ht="22.35" hidden="false" customHeight="false" outlineLevel="0" collapsed="false">
      <c r="A8" s="27" t="s">
        <v>896</v>
      </c>
      <c r="B8" s="27" t="s"/>
      <c r="C8" s="28" t="s">
        <v>897</v>
      </c>
      <c r="D8" s="29" t="s">
        <v>898</v>
      </c>
      <c r="E8" s="30" t="n">
        <v>2</v>
      </c>
      <c r="F8" s="31" t="n">
        <v>1000</v>
      </c>
      <c r="G8" s="44"/>
      <c r="H8" s="77"/>
      <c r="I8" s="33"/>
      <c r="J8" s="34"/>
      <c r="K8" s="34"/>
      <c r="L8" s="34"/>
      <c r="M8" s="34"/>
      <c r="N8" s="34"/>
      <c r="O8" s="34"/>
      <c r="P8" s="35"/>
      <c r="Q8" s="37" t="s">
        <v>899</v>
      </c>
      <c r="R8" s="37" t="s">
        <v>900</v>
      </c>
      <c r="S8" s="46" t="n">
        <v>3</v>
      </c>
      <c r="T8" s="38" t="n">
        <v>2766</v>
      </c>
      <c r="U8" s="46"/>
      <c r="V8" s="39"/>
      <c r="W8" s="107" t="n">
        <f aca="false">SUM(E8,S8)</f>
        <v>5</v>
      </c>
      <c r="X8" s="108" t="n">
        <f aca="false">SUM(F8,T8)</f>
        <v>3766</v>
      </c>
      <c r="Y8" s="42"/>
      <c r="Z8" s="43" t="n">
        <v>1097</v>
      </c>
      <c r="AA8" s="43" t="s">
        <v>901</v>
      </c>
    </row>
    <row r="9" customFormat="false" ht="22.35" hidden="false" customHeight="false" outlineLevel="0" collapsed="false">
      <c r="A9" s="27" t="s">
        <v>902</v>
      </c>
      <c r="B9" s="27" t="s"/>
      <c r="C9" s="28" t="s">
        <v>903</v>
      </c>
      <c r="D9" s="44" t="s">
        <v>28</v>
      </c>
      <c r="E9" s="30" t="n">
        <v>1</v>
      </c>
      <c r="F9" s="31" t="n">
        <v>200</v>
      </c>
      <c r="G9" s="44"/>
      <c r="H9" s="77"/>
      <c r="I9" s="33"/>
      <c r="J9" s="34"/>
      <c r="K9" s="34"/>
      <c r="L9" s="34"/>
      <c r="M9" s="34"/>
      <c r="N9" s="34"/>
      <c r="O9" s="34"/>
      <c r="P9" s="35"/>
      <c r="Q9" s="94" t="s">
        <v>904</v>
      </c>
      <c r="R9" s="37" t="s">
        <v>905</v>
      </c>
      <c r="S9" s="46" t="n">
        <v>7</v>
      </c>
      <c r="T9" s="38" t="n">
        <v>8649</v>
      </c>
      <c r="U9" s="46"/>
      <c r="V9" s="39"/>
      <c r="W9" s="107" t="n">
        <f aca="false">SUM(E9,S9)</f>
        <v>8</v>
      </c>
      <c r="X9" s="108" t="n">
        <f aca="false">SUM(F9,T9)</f>
        <v>8849</v>
      </c>
      <c r="Y9" s="42"/>
      <c r="Z9" s="43" t="n">
        <v>1106</v>
      </c>
      <c r="AA9" s="43" t="s">
        <v>906</v>
      </c>
    </row>
    <row r="10" customFormat="false" ht="22.35" hidden="false" customHeight="false" outlineLevel="0" collapsed="false">
      <c r="A10" s="27" t="s">
        <v>907</v>
      </c>
      <c r="B10" s="27" t="s"/>
      <c r="C10" s="45" t="s">
        <v>28</v>
      </c>
      <c r="D10" s="44"/>
      <c r="E10" s="30"/>
      <c r="F10" s="31"/>
      <c r="G10" s="44"/>
      <c r="H10" s="77"/>
      <c r="I10" s="33"/>
      <c r="J10" s="34"/>
      <c r="K10" s="34"/>
      <c r="L10" s="34"/>
      <c r="M10" s="34"/>
      <c r="N10" s="34"/>
      <c r="O10" s="34"/>
      <c r="P10" s="35"/>
      <c r="Q10" s="37" t="s">
        <v>908</v>
      </c>
      <c r="R10" s="37" t="s">
        <v>909</v>
      </c>
      <c r="S10" s="46" t="n">
        <v>2</v>
      </c>
      <c r="T10" s="38" t="n">
        <v>2374</v>
      </c>
      <c r="U10" s="46"/>
      <c r="V10" s="39"/>
      <c r="W10" s="107" t="n">
        <f aca="false">SUM(E10,S10)</f>
        <v>2</v>
      </c>
      <c r="X10" s="108" t="n">
        <f aca="false">SUM(F10,T10)</f>
        <v>2374</v>
      </c>
      <c r="Y10" s="42"/>
      <c r="Z10" s="43" t="n">
        <v>1111</v>
      </c>
      <c r="AA10" s="43" t="s">
        <v>910</v>
      </c>
    </row>
    <row r="11" customFormat="false" ht="22.35" hidden="false" customHeight="false" outlineLevel="0" collapsed="false">
      <c r="A11" s="27" t="s">
        <v>911</v>
      </c>
      <c r="B11" s="27" t="s"/>
      <c r="C11" s="45" t="s">
        <v>28</v>
      </c>
      <c r="D11" s="44"/>
      <c r="E11" s="30"/>
      <c r="F11" s="31"/>
      <c r="G11" s="44"/>
      <c r="H11" s="77"/>
      <c r="I11" s="33"/>
      <c r="J11" s="34"/>
      <c r="K11" s="34"/>
      <c r="L11" s="34"/>
      <c r="M11" s="34"/>
      <c r="N11" s="34"/>
      <c r="O11" s="34"/>
      <c r="P11" s="35"/>
      <c r="Q11" s="37" t="s">
        <v>912</v>
      </c>
      <c r="R11" s="37" t="s">
        <v>913</v>
      </c>
      <c r="S11" s="46" t="n">
        <v>4</v>
      </c>
      <c r="T11" s="38" t="n">
        <v>5986.8</v>
      </c>
      <c r="U11" s="46"/>
      <c r="V11" s="39"/>
      <c r="W11" s="107" t="n">
        <f aca="false">SUM(E11,S11)</f>
        <v>4</v>
      </c>
      <c r="X11" s="108" t="n">
        <f aca="false">SUM(F11,T11)</f>
        <v>5986.8</v>
      </c>
      <c r="Y11" s="42"/>
      <c r="Z11" s="43" t="n">
        <v>1116</v>
      </c>
      <c r="AA11" s="43" t="s">
        <v>914</v>
      </c>
    </row>
    <row r="12" customFormat="false" ht="22.35" hidden="false" customHeight="false" outlineLevel="0" collapsed="false">
      <c r="A12" s="27" t="s">
        <v>915</v>
      </c>
      <c r="B12" s="27" t="s"/>
      <c r="C12" s="45" t="s">
        <v>28</v>
      </c>
      <c r="D12" s="44"/>
      <c r="E12" s="30"/>
      <c r="F12" s="31"/>
      <c r="G12" s="44"/>
      <c r="H12" s="77"/>
      <c r="I12" s="33"/>
      <c r="J12" s="34"/>
      <c r="K12" s="34"/>
      <c r="L12" s="34"/>
      <c r="M12" s="34"/>
      <c r="N12" s="34"/>
      <c r="O12" s="34"/>
      <c r="P12" s="35"/>
      <c r="Q12" s="37" t="s">
        <v>916</v>
      </c>
      <c r="R12" s="37" t="s">
        <v>917</v>
      </c>
      <c r="S12" s="46" t="n">
        <v>2</v>
      </c>
      <c r="T12" s="38" t="n">
        <v>3818</v>
      </c>
      <c r="U12" s="46"/>
      <c r="V12" s="39"/>
      <c r="W12" s="107" t="n">
        <f aca="false">SUM(E12,S12)</f>
        <v>2</v>
      </c>
      <c r="X12" s="108" t="n">
        <f aca="false">SUM(F12,T12)</f>
        <v>3818</v>
      </c>
      <c r="Y12" s="42"/>
      <c r="Z12" s="43" t="n">
        <v>1123</v>
      </c>
      <c r="AA12" s="43" t="s">
        <v>918</v>
      </c>
    </row>
    <row r="13" customFormat="false" ht="22.35" hidden="false" customHeight="false" outlineLevel="0" collapsed="false">
      <c r="A13" s="27" t="s">
        <v>919</v>
      </c>
      <c r="B13" s="27" t="s"/>
      <c r="C13" s="28" t="s">
        <v>920</v>
      </c>
      <c r="D13" s="29" t="s">
        <v>921</v>
      </c>
      <c r="E13" s="30" t="n">
        <v>4</v>
      </c>
      <c r="F13" s="31" t="n">
        <v>8200</v>
      </c>
      <c r="G13" s="44"/>
      <c r="H13" s="77"/>
      <c r="I13" s="33"/>
      <c r="J13" s="34"/>
      <c r="K13" s="34"/>
      <c r="L13" s="34"/>
      <c r="M13" s="34"/>
      <c r="N13" s="34"/>
      <c r="O13" s="34"/>
      <c r="P13" s="35"/>
      <c r="Q13" s="37" t="s">
        <v>922</v>
      </c>
      <c r="R13" s="37" t="s">
        <v>923</v>
      </c>
      <c r="S13" s="46" t="n">
        <v>5</v>
      </c>
      <c r="T13" s="38" t="n">
        <v>9523</v>
      </c>
      <c r="U13" s="46"/>
      <c r="V13" s="39"/>
      <c r="W13" s="107" t="n">
        <f aca="false">SUM(E13,S13)</f>
        <v>9</v>
      </c>
      <c r="X13" s="108" t="n">
        <f aca="false">SUM(F13,T13)</f>
        <v>17723</v>
      </c>
      <c r="Y13" s="42"/>
      <c r="Z13" s="43" t="n">
        <v>1129</v>
      </c>
      <c r="AA13" s="43" t="s">
        <v>924</v>
      </c>
    </row>
    <row r="14" customFormat="false" ht="22.35" hidden="false" customHeight="false" outlineLevel="0" collapsed="false">
      <c r="A14" s="27" t="s">
        <v>925</v>
      </c>
      <c r="B14" s="27" t="s"/>
      <c r="C14" s="45" t="s">
        <v>28</v>
      </c>
      <c r="D14" s="44"/>
      <c r="E14" s="30"/>
      <c r="F14" s="31"/>
      <c r="G14" s="44"/>
      <c r="H14" s="77"/>
      <c r="I14" s="33"/>
      <c r="J14" s="34"/>
      <c r="K14" s="34"/>
      <c r="L14" s="48"/>
      <c r="M14" s="34"/>
      <c r="N14" s="34"/>
      <c r="O14" s="34"/>
      <c r="P14" s="35"/>
      <c r="Q14" s="46" t="s">
        <v>28</v>
      </c>
      <c r="R14" s="46"/>
      <c r="S14" s="46"/>
      <c r="T14" s="38"/>
      <c r="U14" s="46"/>
      <c r="V14" s="39"/>
      <c r="W14" s="107" t="n">
        <f aca="false">SUM(E14,S14)</f>
        <v>0</v>
      </c>
      <c r="X14" s="108" t="n">
        <f aca="false">SUM(F14,T14)</f>
        <v>0</v>
      </c>
      <c r="Y14" s="42"/>
      <c r="Z14" s="43" t="n">
        <v>1139</v>
      </c>
      <c r="AA14" s="43" t="s">
        <v>926</v>
      </c>
    </row>
    <row r="15" customFormat="false" ht="22.35" hidden="false" customHeight="false" outlineLevel="0" collapsed="false">
      <c r="A15" s="27" t="s">
        <v>927</v>
      </c>
      <c r="B15" s="27" t="s"/>
      <c r="C15" s="45"/>
      <c r="D15" s="44"/>
      <c r="E15" s="30"/>
      <c r="F15" s="31"/>
      <c r="G15" s="44"/>
      <c r="H15" s="77"/>
      <c r="I15" s="33"/>
      <c r="J15" s="34"/>
      <c r="K15" s="34"/>
      <c r="L15" s="48"/>
      <c r="M15" s="34"/>
      <c r="N15" s="34"/>
      <c r="O15" s="34"/>
      <c r="P15" s="35"/>
      <c r="Q15" s="46"/>
      <c r="R15" s="46"/>
      <c r="S15" s="46"/>
      <c r="T15" s="38"/>
      <c r="U15" s="46"/>
      <c r="V15" s="39"/>
      <c r="W15" s="107" t="n">
        <f aca="false">SUM(E15,S15)</f>
        <v>0</v>
      </c>
      <c r="X15" s="108" t="n">
        <f aca="false">SUM(F15,T15)</f>
        <v>0</v>
      </c>
      <c r="Y15" s="42"/>
      <c r="Z15" s="43"/>
      <c r="AA15" s="43"/>
    </row>
    <row r="16" customFormat="false" ht="22.35" hidden="false" customHeight="false" outlineLevel="0" collapsed="false">
      <c r="A16" s="27" t="s">
        <v>928</v>
      </c>
      <c r="B16" s="27" t="s"/>
      <c r="C16" s="45"/>
      <c r="D16" s="44"/>
      <c r="E16" s="30"/>
      <c r="F16" s="31"/>
      <c r="G16" s="44"/>
      <c r="H16" s="77"/>
      <c r="I16" s="33"/>
      <c r="J16" s="34"/>
      <c r="K16" s="34"/>
      <c r="L16" s="34"/>
      <c r="M16" s="34"/>
      <c r="N16" s="34"/>
      <c r="O16" s="34"/>
      <c r="P16" s="35"/>
      <c r="Q16" s="46"/>
      <c r="R16" s="46"/>
      <c r="S16" s="46"/>
      <c r="T16" s="38"/>
      <c r="U16" s="46"/>
      <c r="V16" s="39"/>
      <c r="W16" s="107" t="n">
        <f aca="false">SUM(E16,S16)</f>
        <v>0</v>
      </c>
      <c r="X16" s="108" t="n">
        <f aca="false">SUM(F16,T16)</f>
        <v>0</v>
      </c>
      <c r="Y16" s="42"/>
      <c r="Z16" s="43"/>
      <c r="AA16" s="43"/>
    </row>
    <row r="17" customFormat="false" ht="22.35" hidden="false" customHeight="false" outlineLevel="0" collapsed="false">
      <c r="A17" s="27" t="s">
        <v>929</v>
      </c>
      <c r="B17" s="27" t="s"/>
      <c r="C17" s="45"/>
      <c r="D17" s="45"/>
      <c r="E17" s="30"/>
      <c r="F17" s="31"/>
      <c r="G17" s="44"/>
      <c r="H17" s="77"/>
      <c r="I17" s="33"/>
      <c r="J17" s="34"/>
      <c r="K17" s="34"/>
      <c r="L17" s="34"/>
      <c r="M17" s="34"/>
      <c r="N17" s="34"/>
      <c r="O17" s="34"/>
      <c r="P17" s="35"/>
      <c r="Q17" s="46"/>
      <c r="R17" s="46"/>
      <c r="S17" s="46"/>
      <c r="T17" s="38"/>
      <c r="U17" s="46"/>
      <c r="V17" s="39"/>
      <c r="W17" s="107" t="n">
        <f aca="false">SUM(E17,S17)</f>
        <v>0</v>
      </c>
      <c r="X17" s="108" t="n">
        <f aca="false">SUM(F17,T17)</f>
        <v>0</v>
      </c>
      <c r="Y17" s="42"/>
      <c r="Z17" s="43"/>
      <c r="AA17" s="43"/>
    </row>
    <row r="18" customFormat="false" ht="22.35" hidden="false" customHeight="false" outlineLevel="0" collapsed="false">
      <c r="A18" s="27" t="s">
        <v>930</v>
      </c>
      <c r="B18" s="27" t="s"/>
      <c r="C18" s="45"/>
      <c r="D18" s="44"/>
      <c r="E18" s="30"/>
      <c r="F18" s="31"/>
      <c r="G18" s="44"/>
      <c r="H18" s="77"/>
      <c r="I18" s="33"/>
      <c r="J18" s="34"/>
      <c r="K18" s="34"/>
      <c r="L18" s="34"/>
      <c r="M18" s="34"/>
      <c r="N18" s="34"/>
      <c r="O18" s="34"/>
      <c r="P18" s="35"/>
      <c r="Q18" s="49"/>
      <c r="R18" s="46"/>
      <c r="S18" s="46"/>
      <c r="T18" s="38"/>
      <c r="U18" s="46"/>
      <c r="V18" s="39"/>
      <c r="W18" s="107" t="n">
        <f aca="false">SUM(E18,S18)</f>
        <v>0</v>
      </c>
      <c r="X18" s="108" t="n">
        <f aca="false">SUM(F18,T18)</f>
        <v>0</v>
      </c>
      <c r="Y18" s="42"/>
      <c r="Z18" s="43"/>
      <c r="AA18" s="43"/>
    </row>
    <row r="19" customFormat="false" ht="22.35" hidden="false" customHeight="false" outlineLevel="0" collapsed="false">
      <c r="A19" s="27" t="s">
        <v>931</v>
      </c>
      <c r="B19" s="27" t="s"/>
      <c r="C19" s="45"/>
      <c r="D19" s="44"/>
      <c r="E19" s="30"/>
      <c r="F19" s="31"/>
      <c r="G19" s="44"/>
      <c r="H19" s="77"/>
      <c r="I19" s="33"/>
      <c r="J19" s="34"/>
      <c r="K19" s="34"/>
      <c r="L19" s="34"/>
      <c r="M19" s="34"/>
      <c r="N19" s="34"/>
      <c r="O19" s="34"/>
      <c r="P19" s="35"/>
      <c r="Q19" s="49"/>
      <c r="R19" s="46"/>
      <c r="S19" s="46"/>
      <c r="T19" s="38"/>
      <c r="U19" s="46"/>
      <c r="V19" s="39"/>
      <c r="W19" s="107" t="n">
        <f aca="false">SUM(E19,S19)</f>
        <v>0</v>
      </c>
      <c r="X19" s="108" t="n">
        <f aca="false">SUM(F19,T19)</f>
        <v>0</v>
      </c>
      <c r="Y19" s="42"/>
      <c r="Z19" s="43"/>
      <c r="AA19" s="43"/>
    </row>
    <row r="20" customFormat="false" ht="22.35" hidden="false" customHeight="false" outlineLevel="0" collapsed="false">
      <c r="A20" s="27" t="s">
        <v>932</v>
      </c>
      <c r="B20" s="27" t="s"/>
      <c r="C20" s="45"/>
      <c r="D20" s="44"/>
      <c r="E20" s="30"/>
      <c r="F20" s="31"/>
      <c r="G20" s="44"/>
      <c r="H20" s="77"/>
      <c r="I20" s="33"/>
      <c r="J20" s="34"/>
      <c r="K20" s="34"/>
      <c r="L20" s="34"/>
      <c r="M20" s="34"/>
      <c r="N20" s="34"/>
      <c r="O20" s="34"/>
      <c r="P20" s="35"/>
      <c r="Q20" s="97"/>
      <c r="R20" s="97"/>
      <c r="S20" s="46"/>
      <c r="T20" s="38"/>
      <c r="U20" s="46"/>
      <c r="V20" s="39"/>
      <c r="W20" s="107" t="n">
        <f aca="false">SUM(E20,S20)</f>
        <v>0</v>
      </c>
      <c r="X20" s="108" t="n">
        <f aca="false">SUM(F20,T20)</f>
        <v>0</v>
      </c>
      <c r="Y20" s="42"/>
      <c r="Z20" s="43"/>
      <c r="AA20" s="43"/>
    </row>
    <row r="21" customFormat="false" ht="22.35" hidden="false" customHeight="false" outlineLevel="0" collapsed="false">
      <c r="A21" s="27" t="s">
        <v>933</v>
      </c>
      <c r="B21" s="27" t="s"/>
      <c r="C21" s="45"/>
      <c r="D21" s="44"/>
      <c r="E21" s="30"/>
      <c r="F21" s="31"/>
      <c r="G21" s="44"/>
      <c r="H21" s="77"/>
      <c r="I21" s="33"/>
      <c r="J21" s="34"/>
      <c r="K21" s="34"/>
      <c r="L21" s="34"/>
      <c r="M21" s="34"/>
      <c r="N21" s="34"/>
      <c r="O21" s="34"/>
      <c r="P21" s="35"/>
      <c r="Q21" s="97"/>
      <c r="R21" s="97"/>
      <c r="S21" s="46"/>
      <c r="T21" s="38"/>
      <c r="U21" s="46"/>
      <c r="V21" s="39"/>
      <c r="W21" s="107" t="n">
        <f aca="false">SUM(E21,S21)</f>
        <v>0</v>
      </c>
      <c r="X21" s="108" t="n">
        <f aca="false">SUM(F21,T21)</f>
        <v>0</v>
      </c>
      <c r="Y21" s="42"/>
      <c r="Z21" s="43"/>
      <c r="AA21" s="43"/>
    </row>
    <row r="22" customFormat="false" ht="22.35" hidden="false" customHeight="false" outlineLevel="0" collapsed="false">
      <c r="A22" s="27" t="s">
        <v>934</v>
      </c>
      <c r="B22" s="27" t="s"/>
      <c r="C22" s="45"/>
      <c r="D22" s="44"/>
      <c r="E22" s="30"/>
      <c r="F22" s="31"/>
      <c r="G22" s="44"/>
      <c r="H22" s="77"/>
      <c r="I22" s="33"/>
      <c r="J22" s="34"/>
      <c r="K22" s="34"/>
      <c r="L22" s="34"/>
      <c r="M22" s="34"/>
      <c r="N22" s="34"/>
      <c r="O22" s="34"/>
      <c r="P22" s="35"/>
      <c r="Q22" s="97"/>
      <c r="R22" s="97"/>
      <c r="S22" s="46"/>
      <c r="T22" s="38"/>
      <c r="U22" s="46"/>
      <c r="V22" s="39"/>
      <c r="W22" s="107" t="n">
        <f aca="false">SUM(E22,S22)</f>
        <v>0</v>
      </c>
      <c r="X22" s="108" t="n">
        <f aca="false">SUM(F22,T22)</f>
        <v>0</v>
      </c>
      <c r="Y22" s="42"/>
      <c r="Z22" s="43"/>
      <c r="AA22" s="43"/>
    </row>
    <row r="23" customFormat="false" ht="22.35" hidden="false" customHeight="false" outlineLevel="0" collapsed="false">
      <c r="A23" s="27" t="s">
        <v>935</v>
      </c>
      <c r="B23" s="27" t="s"/>
      <c r="C23" s="45"/>
      <c r="D23" s="44"/>
      <c r="E23" s="30"/>
      <c r="F23" s="31"/>
      <c r="G23" s="44"/>
      <c r="H23" s="77"/>
      <c r="I23" s="33"/>
      <c r="J23" s="34"/>
      <c r="K23" s="34"/>
      <c r="L23" s="34"/>
      <c r="M23" s="34"/>
      <c r="N23" s="34"/>
      <c r="O23" s="34"/>
      <c r="P23" s="35"/>
      <c r="Q23" s="97"/>
      <c r="R23" s="97"/>
      <c r="S23" s="46"/>
      <c r="T23" s="38"/>
      <c r="U23" s="46"/>
      <c r="V23" s="39"/>
      <c r="W23" s="107" t="n">
        <f aca="false">SUM(E23,S23)</f>
        <v>0</v>
      </c>
      <c r="X23" s="108" t="n">
        <f aca="false">SUM(F23,T23)</f>
        <v>0</v>
      </c>
      <c r="Y23" s="42"/>
      <c r="Z23" s="43"/>
      <c r="AA23" s="43"/>
    </row>
    <row r="24" customFormat="false" ht="22.35" hidden="false" customHeight="false" outlineLevel="0" collapsed="false">
      <c r="A24" s="27" t="s">
        <v>936</v>
      </c>
      <c r="B24" s="27" t="s"/>
      <c r="C24" s="45"/>
      <c r="D24" s="44"/>
      <c r="E24" s="30"/>
      <c r="F24" s="31"/>
      <c r="G24" s="44"/>
      <c r="H24" s="77"/>
      <c r="I24" s="33"/>
      <c r="J24" s="34"/>
      <c r="K24" s="34"/>
      <c r="L24" s="34"/>
      <c r="M24" s="34"/>
      <c r="N24" s="34"/>
      <c r="O24" s="34"/>
      <c r="P24" s="35"/>
      <c r="Q24" s="97"/>
      <c r="R24" s="97"/>
      <c r="S24" s="46"/>
      <c r="T24" s="38"/>
      <c r="U24" s="46"/>
      <c r="V24" s="39"/>
      <c r="W24" s="107" t="n">
        <f aca="false">SUM(E24,S24)</f>
        <v>0</v>
      </c>
      <c r="X24" s="108" t="n">
        <f aca="false">SUM(F24,T24)</f>
        <v>0</v>
      </c>
      <c r="Y24" s="42"/>
      <c r="Z24" s="43"/>
      <c r="AA24" s="43"/>
    </row>
    <row r="25" customFormat="false" ht="22.35" hidden="false" customHeight="false" outlineLevel="0" collapsed="false">
      <c r="A25" s="27" t="s">
        <v>937</v>
      </c>
      <c r="B25" s="27" t="s"/>
      <c r="C25" s="45"/>
      <c r="D25" s="44"/>
      <c r="E25" s="30"/>
      <c r="F25" s="31"/>
      <c r="G25" s="44"/>
      <c r="H25" s="77"/>
      <c r="I25" s="33"/>
      <c r="J25" s="34"/>
      <c r="K25" s="34"/>
      <c r="L25" s="34"/>
      <c r="M25" s="34"/>
      <c r="N25" s="34"/>
      <c r="O25" s="34"/>
      <c r="P25" s="35"/>
      <c r="Q25" s="97"/>
      <c r="R25" s="97"/>
      <c r="S25" s="46"/>
      <c r="T25" s="38"/>
      <c r="U25" s="46"/>
      <c r="V25" s="39"/>
      <c r="W25" s="107" t="n">
        <f aca="false">SUM(E25,S25)</f>
        <v>0</v>
      </c>
      <c r="X25" s="108" t="n">
        <f aca="false">SUM(F25,T25)</f>
        <v>0</v>
      </c>
      <c r="Y25" s="42"/>
      <c r="Z25" s="43"/>
      <c r="AA25" s="43"/>
    </row>
    <row r="26" customFormat="false" ht="22.35" hidden="false" customHeight="false" outlineLevel="0" collapsed="false">
      <c r="A26" s="27" t="s">
        <v>938</v>
      </c>
      <c r="B26" s="27" t="s"/>
      <c r="C26" s="45"/>
      <c r="D26" s="44"/>
      <c r="E26" s="30"/>
      <c r="F26" s="31"/>
      <c r="G26" s="44"/>
      <c r="H26" s="77"/>
      <c r="I26" s="33"/>
      <c r="J26" s="34"/>
      <c r="K26" s="34"/>
      <c r="L26" s="34"/>
      <c r="M26" s="34"/>
      <c r="N26" s="34"/>
      <c r="O26" s="34"/>
      <c r="P26" s="35"/>
      <c r="Q26" s="97"/>
      <c r="R26" s="97"/>
      <c r="S26" s="46"/>
      <c r="T26" s="38"/>
      <c r="U26" s="46"/>
      <c r="V26" s="39"/>
      <c r="W26" s="107" t="n">
        <f aca="false">SUM(E26,S26)</f>
        <v>0</v>
      </c>
      <c r="X26" s="108" t="n">
        <f aca="false">SUM(F26,T26)</f>
        <v>0</v>
      </c>
      <c r="Y26" s="42"/>
      <c r="Z26" s="43"/>
      <c r="AA26" s="43"/>
    </row>
    <row r="27" customFormat="false" ht="22.35" hidden="false" customHeight="false" outlineLevel="0" collapsed="false">
      <c r="A27" s="27" t="s">
        <v>939</v>
      </c>
      <c r="B27" s="27" t="s"/>
      <c r="C27" s="45"/>
      <c r="D27" s="44"/>
      <c r="E27" s="30"/>
      <c r="F27" s="31"/>
      <c r="G27" s="44"/>
      <c r="H27" s="77"/>
      <c r="I27" s="33"/>
      <c r="J27" s="34"/>
      <c r="K27" s="34"/>
      <c r="L27" s="34"/>
      <c r="M27" s="34"/>
      <c r="N27" s="34"/>
      <c r="O27" s="34"/>
      <c r="P27" s="35"/>
      <c r="Q27" s="97"/>
      <c r="R27" s="46"/>
      <c r="S27" s="46"/>
      <c r="T27" s="38"/>
      <c r="U27" s="46"/>
      <c r="V27" s="39"/>
      <c r="W27" s="107" t="n">
        <f aca="false">SUM(E27,S27)</f>
        <v>0</v>
      </c>
      <c r="X27" s="108" t="n">
        <f aca="false">SUM(F27,T27)</f>
        <v>0</v>
      </c>
      <c r="Y27" s="42"/>
      <c r="Z27" s="43"/>
      <c r="AA27" s="43"/>
    </row>
    <row r="28" customFormat="false" ht="19.7" hidden="false" customHeight="false" outlineLevel="0" collapsed="false">
      <c r="A28" s="85" t="s">
        <v>96</v>
      </c>
      <c r="B28" s="85" t="s"/>
      <c r="C28" s="85"/>
      <c r="D28" s="85"/>
      <c r="E28" s="86" t="n">
        <f aca="false">SUM(E6:E27)</f>
        <v>8</v>
      </c>
      <c r="F28" s="87" t="n">
        <f aca="false">SUM(F6:F27)</f>
        <v>9600</v>
      </c>
      <c r="G28" s="88"/>
      <c r="H28" s="89"/>
      <c r="I28" s="90" t="s">
        <v>96</v>
      </c>
      <c r="J28" s="90"/>
      <c r="K28" s="90"/>
      <c r="L28" s="90"/>
      <c r="M28" s="88"/>
      <c r="N28" s="88"/>
      <c r="O28" s="88"/>
      <c r="P28" s="100"/>
      <c r="Q28" s="110" t="s">
        <v>96</v>
      </c>
      <c r="R28" s="110"/>
      <c r="S28" s="111" t="n">
        <f aca="false">SUM(S6:S27)</f>
        <v>38</v>
      </c>
      <c r="T28" s="112" t="n">
        <f aca="false">SUM(T6:T27)</f>
        <v>53355.8</v>
      </c>
      <c r="U28" s="113" t="n">
        <f aca="false">SUM(U6:U27)</f>
        <v>0</v>
      </c>
      <c r="V28" s="114" t="n">
        <f aca="false">SUM(V6:V27)</f>
        <v>0</v>
      </c>
      <c r="W28" s="115" t="n">
        <f aca="false">SUM(W6:W27)</f>
        <v>46</v>
      </c>
      <c r="X28" s="116" t="n">
        <f aca="false">SUM(X6:X27)</f>
        <v>62955.8</v>
      </c>
      <c r="Y28" s="117"/>
      <c r="Z28" s="117"/>
      <c r="AA28" s="117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104"/>
      <c r="X30" s="2"/>
      <c r="Y30" s="2"/>
      <c r="Z30" s="2"/>
      <c r="AA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30">
    <mergeCell ref="A1:AA1"/>
    <mergeCell ref="A3:A5"/>
    <mergeCell ref="C3:H3"/>
    <mergeCell ref="I3:P3"/>
    <mergeCell ref="Q3:V3"/>
    <mergeCell ref="W3:X3"/>
    <mergeCell ref="Y3:Y5"/>
    <mergeCell ref="Z3:Z5"/>
    <mergeCell ref="AA3:AA5"/>
    <mergeCell ref="C4:C5"/>
    <mergeCell ref="D4:D5"/>
    <mergeCell ref="E4:E5"/>
    <mergeCell ref="F4:F5"/>
    <mergeCell ref="G4:H4"/>
    <mergeCell ref="I4:J5"/>
    <mergeCell ref="K4:K5"/>
    <mergeCell ref="L4:L5"/>
    <mergeCell ref="M4:M5"/>
    <mergeCell ref="N4:N5"/>
    <mergeCell ref="O4:P4"/>
    <mergeCell ref="Q4:Q5"/>
    <mergeCell ref="R4:R5"/>
    <mergeCell ref="S4:S5"/>
    <mergeCell ref="T4:T5"/>
    <mergeCell ref="U4:V4"/>
    <mergeCell ref="W4:W5"/>
    <mergeCell ref="X4:X5"/>
    <mergeCell ref="A28:D28"/>
    <mergeCell ref="I28:L28"/>
    <mergeCell ref="Q28:R28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false" hidden="true" outlineLevel="0" max="3" min="2" style="0" width="12.63"/>
  </cols>
  <sheetData>
    <row r="1" customFormat="false" ht="29.85" hidden="false" customHeight="false" outlineLevel="0" collapsed="false">
      <c r="A1" s="118" t="s">
        <v>940</v>
      </c>
      <c r="B1" s="118"/>
      <c r="C1" s="118"/>
      <c r="D1" s="118"/>
      <c r="E1" s="118"/>
      <c r="F1" s="118"/>
      <c r="G1" s="118"/>
      <c r="H1" s="118"/>
      <c r="I1" s="118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customFormat="false" ht="15.75" hidden="false" customHeight="false" outlineLevel="0" collapsed="false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 customFormat="false" ht="22.35" hidden="false" customHeight="false" outlineLevel="0" collapsed="false">
      <c r="A3" s="120" t="s">
        <v>941</v>
      </c>
      <c r="B3" s="121" t="s">
        <v>942</v>
      </c>
      <c r="C3" s="121"/>
      <c r="D3" s="122" t="s">
        <v>943</v>
      </c>
      <c r="E3" s="122"/>
      <c r="F3" s="123" t="s">
        <v>4</v>
      </c>
      <c r="G3" s="123"/>
      <c r="H3" s="124" t="s">
        <v>944</v>
      </c>
      <c r="I3" s="124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customFormat="false" ht="19.7" hidden="false" customHeight="false" outlineLevel="0" collapsed="false">
      <c r="A4" s="120"/>
      <c r="B4" s="121" t="s">
        <v>11</v>
      </c>
      <c r="C4" s="121" t="s">
        <v>12</v>
      </c>
      <c r="D4" s="122" t="s">
        <v>11</v>
      </c>
      <c r="E4" s="122" t="s">
        <v>12</v>
      </c>
      <c r="F4" s="123" t="s">
        <v>11</v>
      </c>
      <c r="G4" s="123" t="s">
        <v>12</v>
      </c>
      <c r="H4" s="124" t="s">
        <v>11</v>
      </c>
      <c r="I4" s="124" t="s">
        <v>12</v>
      </c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customFormat="false" ht="22.35" hidden="false" customHeight="false" outlineLevel="0" collapsed="false">
      <c r="A5" s="125" t="s">
        <v>945</v>
      </c>
      <c r="B5" s="126"/>
      <c r="C5" s="127"/>
      <c r="D5" s="128" t="n">
        <f aca="false">'ต.ค.68'!D26</f>
        <v>30</v>
      </c>
      <c r="E5" s="127" t="n">
        <f aca="false">'ต.ค.68'!E26</f>
        <v>17100</v>
      </c>
      <c r="F5" s="126" t="n">
        <f aca="false">'ต.ค.68'!R26</f>
        <v>47</v>
      </c>
      <c r="G5" s="127" t="n">
        <f aca="false">'ต.ค.68'!S26</f>
        <v>79460.86</v>
      </c>
      <c r="H5" s="129" t="n">
        <f aca="false">SUM(B5,D5,F5)</f>
        <v>77</v>
      </c>
      <c r="I5" s="130" t="n">
        <f aca="false">SUM(C5,E5,G5)</f>
        <v>96560.86</v>
      </c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</row>
    <row r="6" customFormat="false" ht="22.35" hidden="false" customHeight="false" outlineLevel="0" collapsed="false">
      <c r="A6" s="125" t="s">
        <v>946</v>
      </c>
      <c r="B6" s="126"/>
      <c r="C6" s="127"/>
      <c r="D6" s="128" t="n">
        <f aca="false">'พ.ย.68'!D27</f>
        <v>34</v>
      </c>
      <c r="E6" s="127" t="n">
        <f aca="false">'พ.ย.68'!E27</f>
        <v>19630</v>
      </c>
      <c r="F6" s="126" t="n">
        <f aca="false">'พ.ย.68'!R27</f>
        <v>31</v>
      </c>
      <c r="G6" s="127" t="n">
        <f aca="false">'พ.ย.68'!S27</f>
        <v>44979.7</v>
      </c>
      <c r="H6" s="129" t="n">
        <f aca="false">SUM(B6,D6,F6)</f>
        <v>65</v>
      </c>
      <c r="I6" s="130" t="n">
        <f aca="false">SUM(C6,E6,G6)</f>
        <v>64609.7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</row>
    <row r="7" customFormat="false" ht="22.35" hidden="false" customHeight="false" outlineLevel="0" collapsed="false">
      <c r="A7" s="125" t="s">
        <v>947</v>
      </c>
      <c r="B7" s="126"/>
      <c r="C7" s="127"/>
      <c r="D7" s="126" t="n">
        <f aca="false">'ธ.ค. 68'!D25</f>
        <v>35</v>
      </c>
      <c r="E7" s="127" t="n">
        <f aca="false">'ธ.ค. 68'!E25</f>
        <v>33350</v>
      </c>
      <c r="F7" s="126" t="n">
        <f aca="false">'ธ.ค. 68'!R25</f>
        <v>842</v>
      </c>
      <c r="G7" s="127" t="n">
        <f aca="false">'ธ.ค. 68'!S25</f>
        <v>1159370.62</v>
      </c>
      <c r="H7" s="129" t="n">
        <f aca="false">SUM(B7,D7,F7)</f>
        <v>877</v>
      </c>
      <c r="I7" s="130" t="n">
        <f aca="false">SUM(C7,E7,G7)</f>
        <v>1192720.62</v>
      </c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</row>
    <row r="8" customFormat="false" ht="22.35" hidden="false" customHeight="false" outlineLevel="0" collapsed="false">
      <c r="A8" s="125" t="s">
        <v>948</v>
      </c>
      <c r="B8" s="126"/>
      <c r="C8" s="127"/>
      <c r="D8" s="128" t="n">
        <f aca="false">'ม.ค. 69'!D26</f>
        <v>28</v>
      </c>
      <c r="E8" s="127" t="n">
        <f aca="false">'ม.ค. 69'!E26</f>
        <v>25380</v>
      </c>
      <c r="F8" s="126" t="n">
        <f aca="false">'ม.ค. 69'!R26</f>
        <v>1000</v>
      </c>
      <c r="G8" s="127" t="n">
        <f aca="false">'ม.ค. 69'!S26</f>
        <v>1376658.05</v>
      </c>
      <c r="H8" s="129" t="n">
        <f aca="false">SUM(B8,D8,F8)</f>
        <v>1028</v>
      </c>
      <c r="I8" s="130" t="n">
        <f aca="false">SUM(C8,E8,G8)</f>
        <v>1402038.05</v>
      </c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</row>
    <row r="9" customFormat="false" ht="22.35" hidden="false" customHeight="false" outlineLevel="0" collapsed="false">
      <c r="A9" s="125" t="s">
        <v>949</v>
      </c>
      <c r="B9" s="126"/>
      <c r="C9" s="127"/>
      <c r="D9" s="126" t="n">
        <f aca="false">'ก.พ. 69'!D26</f>
        <v>14</v>
      </c>
      <c r="E9" s="127" t="n">
        <f aca="false">'ก.พ. 69'!E26</f>
        <v>4950</v>
      </c>
      <c r="F9" s="126" t="n">
        <f aca="false">'ก.พ. 69'!R26</f>
        <v>849</v>
      </c>
      <c r="G9" s="127" t="n">
        <f aca="false">'ก.พ. 69'!S26</f>
        <v>1131272.59</v>
      </c>
      <c r="H9" s="129" t="n">
        <f aca="false">SUM(B9,D9,F9)</f>
        <v>863</v>
      </c>
      <c r="I9" s="130" t="n">
        <f aca="false">SUM(C9,E9,G9)</f>
        <v>1136222.59</v>
      </c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</row>
    <row r="10" customFormat="false" ht="22.35" hidden="false" customHeight="false" outlineLevel="0" collapsed="false">
      <c r="A10" s="125" t="s">
        <v>950</v>
      </c>
      <c r="B10" s="126"/>
      <c r="C10" s="127"/>
      <c r="D10" s="126" t="n">
        <f aca="false">'มี.ค. 69'!D28</f>
        <v>12</v>
      </c>
      <c r="E10" s="127" t="n">
        <f aca="false">'มี.ค. 69'!E28</f>
        <v>4250</v>
      </c>
      <c r="F10" s="126" t="n">
        <f aca="false">'มี.ค. 69'!R28</f>
        <v>480</v>
      </c>
      <c r="G10" s="127" t="n">
        <f aca="false">'มี.ค. 69'!S28</f>
        <v>632665.06</v>
      </c>
      <c r="H10" s="129" t="n">
        <f aca="false">SUM(B10,D10,F10)</f>
        <v>492</v>
      </c>
      <c r="I10" s="130" t="n">
        <f aca="false">SUM(C10,E10,G10)</f>
        <v>636915.06</v>
      </c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</row>
    <row r="11" customFormat="false" ht="22.35" hidden="false" customHeight="false" outlineLevel="0" collapsed="false">
      <c r="A11" s="125" t="s">
        <v>951</v>
      </c>
      <c r="B11" s="126"/>
      <c r="C11" s="127"/>
      <c r="D11" s="126" t="n">
        <f aca="false">'เม.ย. 69'!D24</f>
        <v>11</v>
      </c>
      <c r="E11" s="127" t="n">
        <f aca="false">'เม.ย. 69'!E24</f>
        <v>7800</v>
      </c>
      <c r="F11" s="126" t="n">
        <f aca="false">'เม.ย. 69'!R24</f>
        <v>390</v>
      </c>
      <c r="G11" s="127" t="n">
        <f aca="false">'เม.ย. 69'!S24</f>
        <v>483442.3</v>
      </c>
      <c r="H11" s="129" t="n">
        <f aca="false">SUM(B11,D11,F11)</f>
        <v>401</v>
      </c>
      <c r="I11" s="130" t="n">
        <f aca="false">SUM(C11,E11,G11)</f>
        <v>491242.3</v>
      </c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</row>
    <row r="12" customFormat="false" ht="22.35" hidden="false" customHeight="false" outlineLevel="0" collapsed="false">
      <c r="A12" s="125" t="s">
        <v>952</v>
      </c>
      <c r="B12" s="126"/>
      <c r="C12" s="127"/>
      <c r="D12" s="126" t="n">
        <f aca="false">'พ.ค.69'!D24</f>
        <v>5</v>
      </c>
      <c r="E12" s="127" t="n">
        <f aca="false">'พ.ค.69'!E24</f>
        <v>2400</v>
      </c>
      <c r="F12" s="126" t="n">
        <f aca="false">'พ.ค.69'!R24</f>
        <v>342</v>
      </c>
      <c r="G12" s="127" t="n">
        <f aca="false">'พ.ค.69'!S24</f>
        <v>444003.56</v>
      </c>
      <c r="H12" s="129" t="n">
        <f aca="false">SUM(B12,D12,F12)</f>
        <v>347</v>
      </c>
      <c r="I12" s="130" t="n">
        <f aca="false">SUM(C12,E12,G12)</f>
        <v>446403.56</v>
      </c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</row>
    <row r="13" customFormat="false" ht="22.35" hidden="false" customHeight="false" outlineLevel="0" collapsed="false">
      <c r="A13" s="125" t="s">
        <v>953</v>
      </c>
      <c r="B13" s="126"/>
      <c r="C13" s="127"/>
      <c r="D13" s="126" t="n">
        <f aca="false">'มิ.ย.69'!D27</f>
        <v>11</v>
      </c>
      <c r="E13" s="127" t="n">
        <f aca="false">'มิ.ย.69'!E27</f>
        <v>11900</v>
      </c>
      <c r="F13" s="126" t="n">
        <f aca="false">'มิ.ย.69'!R27</f>
        <v>184</v>
      </c>
      <c r="G13" s="127" t="n">
        <f aca="false">'มิ.ย.69'!S27</f>
        <v>221794.5</v>
      </c>
      <c r="H13" s="129" t="n">
        <f aca="false">SUM(B13,D13,F13)</f>
        <v>195</v>
      </c>
      <c r="I13" s="130" t="n">
        <f aca="false">SUM(C13,E13,G13)</f>
        <v>233694.5</v>
      </c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</row>
    <row r="14" customFormat="false" ht="22.35" hidden="false" customHeight="false" outlineLevel="0" collapsed="false">
      <c r="A14" s="125" t="s">
        <v>954</v>
      </c>
      <c r="B14" s="126"/>
      <c r="C14" s="127"/>
      <c r="D14" s="126" t="n">
        <f aca="false">'ก.ค.69'!D25</f>
        <v>11</v>
      </c>
      <c r="E14" s="127" t="n">
        <f aca="false">'ก.ค.69'!E25</f>
        <v>7200</v>
      </c>
      <c r="F14" s="126" t="n">
        <f aca="false">'ก.ค.69'!R25</f>
        <v>135</v>
      </c>
      <c r="G14" s="127" t="n">
        <f aca="false">'ก.ค.69'!S25</f>
        <v>168439.22</v>
      </c>
      <c r="H14" s="129" t="n">
        <f aca="false">SUM(B14,D14,F14)</f>
        <v>146</v>
      </c>
      <c r="I14" s="130" t="n">
        <f aca="false">SUM(C14,E14,G14)</f>
        <v>175639.22</v>
      </c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</row>
    <row r="15" customFormat="false" ht="22.35" hidden="false" customHeight="false" outlineLevel="0" collapsed="false">
      <c r="A15" s="125" t="s">
        <v>955</v>
      </c>
      <c r="B15" s="126"/>
      <c r="C15" s="127"/>
      <c r="D15" s="126" t="n">
        <f aca="false">'ส.ค.69'!D27</f>
        <v>12</v>
      </c>
      <c r="E15" s="127" t="n">
        <f aca="false">'ส.ค.69'!E27</f>
        <v>9020</v>
      </c>
      <c r="F15" s="126" t="n">
        <f aca="false">'ส.ค.69'!R27</f>
        <v>130</v>
      </c>
      <c r="G15" s="127" t="n">
        <f aca="false">'ส.ค.69'!S27</f>
        <v>190617.83</v>
      </c>
      <c r="H15" s="129" t="n">
        <f aca="false">SUM(B15,D15,F15)</f>
        <v>142</v>
      </c>
      <c r="I15" s="130" t="n">
        <f aca="false">SUM(C15,E15,G15)</f>
        <v>199637.83</v>
      </c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customFormat="false" ht="22.35" hidden="false" customHeight="false" outlineLevel="0" collapsed="false">
      <c r="A16" s="125" t="s">
        <v>956</v>
      </c>
      <c r="B16" s="126"/>
      <c r="C16" s="127"/>
      <c r="D16" s="126" t="n">
        <f aca="false">'ก.ย.69'!D28</f>
        <v>8</v>
      </c>
      <c r="E16" s="127" t="n">
        <f aca="false">'ก.ย.69'!E28</f>
        <v>9600</v>
      </c>
      <c r="F16" s="126" t="n">
        <f aca="false">'ก.ย.69'!R28</f>
        <v>38</v>
      </c>
      <c r="G16" s="127" t="n">
        <f aca="false">'ก.ย.69'!S28</f>
        <v>53355.8</v>
      </c>
      <c r="H16" s="129" t="n">
        <f aca="false">SUM(B16,D16,F16)</f>
        <v>46</v>
      </c>
      <c r="I16" s="130" t="n">
        <f aca="false">SUM(C16,E16,G16)</f>
        <v>62955.8</v>
      </c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</row>
    <row r="17" customFormat="false" ht="19.7" hidden="false" customHeight="false" outlineLevel="0" collapsed="false">
      <c r="A17" s="131" t="s">
        <v>96</v>
      </c>
      <c r="B17" s="132" t="n">
        <f aca="false">SUM(B5:B16)</f>
        <v>0</v>
      </c>
      <c r="C17" s="133" t="n">
        <f aca="false">SUM(C3:C16)</f>
        <v>0</v>
      </c>
      <c r="D17" s="134" t="n">
        <f aca="false">SUM(D3:D16)</f>
        <v>211</v>
      </c>
      <c r="E17" s="135" t="n">
        <f aca="false">SUM(E3:E16)</f>
        <v>152580</v>
      </c>
      <c r="F17" s="136" t="n">
        <f aca="false">SUM(F3:F16)</f>
        <v>4468</v>
      </c>
      <c r="G17" s="137" t="n">
        <f aca="false">SUM(G3:G16)</f>
        <v>5986060.09</v>
      </c>
      <c r="H17" s="138" t="n">
        <f aca="false">SUM(H5:H16)</f>
        <v>4679</v>
      </c>
      <c r="I17" s="139" t="n">
        <f aca="false">SUM(I5:I16)</f>
        <v>6138640.09</v>
      </c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</row>
    <row r="18" customFormat="false" ht="15.75" hidden="false" customHeight="false" outlineLevel="0" collapsed="false">
      <c r="A18" s="119"/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</row>
    <row r="19" customFormat="false" ht="15.75" hidden="false" customHeight="false" outlineLevel="0" collapsed="false">
      <c r="A19" s="119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</row>
    <row r="20" customFormat="false" ht="15.75" hidden="false" customHeight="false" outlineLevel="0" collapsed="false">
      <c r="A20" s="11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</row>
    <row r="21" customFormat="false" ht="15.75" hidden="false" customHeight="false" outlineLevel="0" collapsed="false">
      <c r="A21" s="119"/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</row>
    <row r="22" customFormat="false" ht="15.75" hidden="false" customHeight="false" outlineLevel="0" collapsed="false">
      <c r="A22" s="119"/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</row>
    <row r="23" customFormat="false" ht="15.75" hidden="false" customHeight="false" outlineLevel="0" collapsed="false">
      <c r="A23" s="119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</row>
    <row r="24" customFormat="false" ht="15.75" hidden="false" customHeight="false" outlineLevel="0" collapsed="false">
      <c r="A24" s="119"/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</row>
    <row r="25" customFormat="false" ht="15.75" hidden="false" customHeight="false" outlineLevel="0" collapsed="false">
      <c r="A25" s="119"/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</row>
    <row r="26" customFormat="false" ht="15.75" hidden="false" customHeight="false" outlineLevel="0" collapsed="false">
      <c r="A26" s="119"/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</row>
    <row r="27" customFormat="false" ht="15.75" hidden="false" customHeight="false" outlineLevel="0" collapsed="false">
      <c r="A27" s="119"/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</row>
    <row r="28" customFormat="false" ht="15.75" hidden="false" customHeight="false" outlineLevel="0" collapsed="false">
      <c r="A28" s="119"/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</row>
    <row r="29" customFormat="false" ht="15.75" hidden="false" customHeight="false" outlineLevel="0" collapsed="false">
      <c r="A29" s="119"/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</row>
    <row r="30" customFormat="false" ht="15.75" hidden="false" customHeight="false" outlineLevel="0" collapsed="false">
      <c r="A30" s="119"/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</row>
    <row r="31" customFormat="false" ht="15.75" hidden="false" customHeight="false" outlineLevel="0" collapsed="false">
      <c r="A31" s="119"/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</row>
    <row r="32" customFormat="false" ht="15.75" hidden="false" customHeight="false" outlineLevel="0" collapsed="false">
      <c r="A32" s="119"/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</row>
    <row r="33" customFormat="false" ht="15.75" hidden="false" customHeight="false" outlineLevel="0" collapsed="false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 customFormat="false" ht="15.75" hidden="false" customHeight="false" outlineLevel="0" collapsed="false">
      <c r="A34" s="119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customFormat="false" ht="15.75" hidden="false" customHeight="false" outlineLevel="0" collapsed="false">
      <c r="A35" s="119"/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</row>
    <row r="36" customFormat="false" ht="15.75" hidden="false" customHeight="false" outlineLevel="0" collapsed="false">
      <c r="A36" s="119"/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customFormat="false" ht="15.75" hidden="false" customHeight="false" outlineLevel="0" collapsed="false">
      <c r="A37" s="119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customFormat="false" ht="15.75" hidden="false" customHeight="false" outlineLevel="0" collapsed="false">
      <c r="A38" s="119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customFormat="false" ht="15.75" hidden="false" customHeight="false" outlineLevel="0" collapsed="false">
      <c r="A39" s="119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customFormat="false" ht="15.75" hidden="false" customHeight="false" outlineLevel="0" collapsed="false">
      <c r="A40" s="119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customFormat="false" ht="15.75" hidden="false" customHeight="false" outlineLevel="0" collapsed="false">
      <c r="A41" s="119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customFormat="false" ht="15.75" hidden="false" customHeight="false" outlineLevel="0" collapsed="false">
      <c r="A42" s="119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customFormat="false" ht="15.75" hidden="false" customHeight="false" outlineLevel="0" collapsed="false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customFormat="false" ht="15.75" hidden="false" customHeight="false" outlineLevel="0" collapsed="false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customFormat="false" ht="15.75" hidden="false" customHeight="false" outlineLevel="0" collapsed="false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customFormat="false" ht="15.75" hidden="false" customHeight="false" outlineLevel="0" collapsed="false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customFormat="false" ht="15.75" hidden="false" customHeight="false" outlineLevel="0" collapsed="false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customFormat="false" ht="15.75" hidden="false" customHeight="false" outlineLevel="0" collapsed="false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customFormat="false" ht="15.75" hidden="false" customHeight="false" outlineLevel="0" collapsed="false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customFormat="false" ht="15.75" hidden="false" customHeight="false" outlineLevel="0" collapsed="false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customFormat="false" ht="15.75" hidden="false" customHeight="false" outlineLevel="0" collapsed="false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customFormat="false" ht="15.75" hidden="false" customHeight="false" outlineLevel="0" collapsed="false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customFormat="false" ht="15.75" hidden="false" customHeight="false" outlineLevel="0" collapsed="false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customFormat="false" ht="15.75" hidden="false" customHeight="false" outlineLevel="0" collapsed="false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customFormat="false" ht="15.75" hidden="false" customHeight="false" outlineLevel="0" collapsed="false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customFormat="false" ht="15.75" hidden="false" customHeight="false" outlineLevel="0" collapsed="false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customFormat="false" ht="15.75" hidden="false" customHeight="false" outlineLevel="0" collapsed="false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customFormat="false" ht="15.75" hidden="false" customHeight="false" outlineLevel="0" collapsed="false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customFormat="false" ht="15.75" hidden="false" customHeight="false" outlineLevel="0" collapsed="false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customFormat="false" ht="15.75" hidden="false" customHeight="false" outlineLevel="0" collapsed="false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customFormat="false" ht="15.75" hidden="false" customHeight="false" outlineLevel="0" collapsed="false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customFormat="false" ht="15.75" hidden="false" customHeight="false" outlineLevel="0" collapsed="false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customFormat="false" ht="15.75" hidden="false" customHeight="false" outlineLevel="0" collapsed="false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customFormat="false" ht="15.75" hidden="false" customHeight="false" outlineLevel="0" collapsed="false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customFormat="false" ht="15.75" hidden="false" customHeight="false" outlineLevel="0" collapsed="false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customFormat="false" ht="15.75" hidden="false" customHeight="false" outlineLevel="0" collapsed="false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customFormat="false" ht="15.75" hidden="false" customHeight="false" outlineLevel="0" collapsed="false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customFormat="false" ht="15.75" hidden="false" customHeight="false" outlineLevel="0" collapsed="false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customFormat="false" ht="15.75" hidden="false" customHeight="false" outlineLevel="0" collapsed="false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customFormat="false" ht="15.75" hidden="false" customHeight="false" outlineLevel="0" collapsed="false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customFormat="false" ht="15.75" hidden="false" customHeight="false" outlineLevel="0" collapsed="false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customFormat="false" ht="15.75" hidden="false" customHeight="false" outlineLevel="0" collapsed="false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customFormat="false" ht="15.75" hidden="false" customHeight="false" outlineLevel="0" collapsed="false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customFormat="false" ht="15.75" hidden="false" customHeight="false" outlineLevel="0" collapsed="false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customFormat="false" ht="15.75" hidden="false" customHeight="false" outlineLevel="0" collapsed="false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customFormat="false" ht="15.75" hidden="false" customHeight="false" outlineLevel="0" collapsed="false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customFormat="false" ht="15.75" hidden="false" customHeight="false" outlineLevel="0" collapsed="false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customFormat="false" ht="15.75" hidden="false" customHeight="false" outlineLevel="0" collapsed="false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customFormat="false" ht="15.75" hidden="false" customHeight="false" outlineLevel="0" collapsed="false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customFormat="false" ht="15.75" hidden="false" customHeight="false" outlineLevel="0" collapsed="false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customFormat="false" ht="15.75" hidden="false" customHeight="false" outlineLevel="0" collapsed="false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customFormat="false" ht="15.75" hidden="false" customHeight="false" outlineLevel="0" collapsed="false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customFormat="false" ht="15.75" hidden="false" customHeight="false" outlineLevel="0" collapsed="false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customFormat="false" ht="15.75" hidden="false" customHeight="false" outlineLevel="0" collapsed="false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customFormat="false" ht="15.75" hidden="false" customHeight="false" outlineLevel="0" collapsed="false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customFormat="false" ht="15.75" hidden="false" customHeight="false" outlineLevel="0" collapsed="false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customFormat="false" ht="15.75" hidden="false" customHeight="false" outlineLevel="0" collapsed="false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customFormat="false" ht="15.75" hidden="false" customHeight="false" outlineLevel="0" collapsed="false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customFormat="false" ht="15.75" hidden="false" customHeight="false" outlineLevel="0" collapsed="false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customFormat="false" ht="15.75" hidden="false" customHeight="false" outlineLevel="0" collapsed="false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customFormat="false" ht="15.75" hidden="false" customHeight="false" outlineLevel="0" collapsed="false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customFormat="false" ht="15.75" hidden="false" customHeight="false" outlineLevel="0" collapsed="false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customFormat="false" ht="15.75" hidden="false" customHeight="false" outlineLevel="0" collapsed="false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customFormat="false" ht="15.75" hidden="false" customHeight="false" outlineLevel="0" collapsed="false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customFormat="false" ht="15.75" hidden="false" customHeight="false" outlineLevel="0" collapsed="false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customFormat="false" ht="15.75" hidden="false" customHeight="false" outlineLevel="0" collapsed="false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customFormat="false" ht="15.75" hidden="false" customHeight="false" outlineLevel="0" collapsed="false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customFormat="false" ht="15.75" hidden="false" customHeight="false" outlineLevel="0" collapsed="false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customFormat="false" ht="15.75" hidden="false" customHeight="false" outlineLevel="0" collapsed="false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customFormat="false" ht="15.75" hidden="false" customHeight="false" outlineLevel="0" collapsed="false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customFormat="false" ht="15.75" hidden="false" customHeight="false" outlineLevel="0" collapsed="false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customFormat="false" ht="15.75" hidden="false" customHeight="false" outlineLevel="0" collapsed="false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customFormat="false" ht="15.75" hidden="false" customHeight="false" outlineLevel="0" collapsed="false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 customFormat="false" ht="15.75" hidden="false" customHeight="false" outlineLevel="0" collapsed="false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 customFormat="false" ht="15.75" hidden="false" customHeight="false" outlineLevel="0" collapsed="false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 customFormat="false" ht="15.75" hidden="false" customHeight="false" outlineLevel="0" collapsed="false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 customFormat="false" ht="15.75" hidden="false" customHeight="false" outlineLevel="0" collapsed="false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 customFormat="false" ht="15.75" hidden="false" customHeight="false" outlineLevel="0" collapsed="false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 customFormat="false" ht="15.75" hidden="false" customHeight="false" outlineLevel="0" collapsed="false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 customFormat="false" ht="15.75" hidden="false" customHeight="false" outlineLevel="0" collapsed="false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 customFormat="false" ht="15.75" hidden="false" customHeight="false" outlineLevel="0" collapsed="false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 customFormat="false" ht="15.75" hidden="false" customHeight="false" outlineLevel="0" collapsed="false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 customFormat="false" ht="15.75" hidden="false" customHeight="false" outlineLevel="0" collapsed="false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</row>
    <row r="114" customFormat="false" ht="15.75" hidden="false" customHeight="false" outlineLevel="0" collapsed="false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</row>
    <row r="115" customFormat="false" ht="15.75" hidden="false" customHeight="false" outlineLevel="0" collapsed="false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</row>
    <row r="116" customFormat="false" ht="15.75" hidden="false" customHeight="false" outlineLevel="0" collapsed="false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</row>
    <row r="117" customFormat="false" ht="15.75" hidden="false" customHeight="false" outlineLevel="0" collapsed="false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</row>
    <row r="118" customFormat="false" ht="15.75" hidden="false" customHeight="false" outlineLevel="0" collapsed="false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</row>
    <row r="119" customFormat="false" ht="15.75" hidden="false" customHeight="false" outlineLevel="0" collapsed="false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</row>
    <row r="120" customFormat="false" ht="15.75" hidden="false" customHeight="false" outlineLevel="0" collapsed="false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</row>
    <row r="121" customFormat="false" ht="15.75" hidden="false" customHeight="false" outlineLevel="0" collapsed="false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</row>
    <row r="122" customFormat="false" ht="15.75" hidden="false" customHeight="false" outlineLevel="0" collapsed="false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</row>
    <row r="123" customFormat="false" ht="15.75" hidden="false" customHeight="false" outlineLevel="0" collapsed="false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</row>
    <row r="124" customFormat="false" ht="15.75" hidden="false" customHeight="false" outlineLevel="0" collapsed="false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</row>
    <row r="125" customFormat="false" ht="15.75" hidden="false" customHeight="false" outlineLevel="0" collapsed="false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</row>
    <row r="126" customFormat="false" ht="15.75" hidden="false" customHeight="false" outlineLevel="0" collapsed="false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</row>
    <row r="127" customFormat="false" ht="15.75" hidden="false" customHeight="false" outlineLevel="0" collapsed="false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 customFormat="false" ht="15.75" hidden="false" customHeight="false" outlineLevel="0" collapsed="false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</row>
    <row r="129" customFormat="false" ht="15.75" hidden="false" customHeight="false" outlineLevel="0" collapsed="false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</row>
    <row r="130" customFormat="false" ht="15.75" hidden="false" customHeight="false" outlineLevel="0" collapsed="false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 customFormat="false" ht="15.75" hidden="false" customHeight="false" outlineLevel="0" collapsed="false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</row>
    <row r="132" customFormat="false" ht="15.75" hidden="false" customHeight="false" outlineLevel="0" collapsed="false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</row>
    <row r="133" customFormat="false" ht="15.75" hidden="false" customHeight="false" outlineLevel="0" collapsed="false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</row>
    <row r="134" customFormat="false" ht="15.75" hidden="false" customHeight="false" outlineLevel="0" collapsed="false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</row>
    <row r="135" customFormat="false" ht="15.75" hidden="false" customHeight="false" outlineLevel="0" collapsed="false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</row>
    <row r="136" customFormat="false" ht="15.75" hidden="false" customHeight="false" outlineLevel="0" collapsed="false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</row>
    <row r="137" customFormat="false" ht="15.75" hidden="false" customHeight="false" outlineLevel="0" collapsed="false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</row>
    <row r="138" customFormat="false" ht="15.75" hidden="false" customHeight="false" outlineLevel="0" collapsed="false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 customFormat="false" ht="15.75" hidden="false" customHeight="false" outlineLevel="0" collapsed="false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</row>
    <row r="140" customFormat="false" ht="15.75" hidden="false" customHeight="false" outlineLevel="0" collapsed="false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</row>
    <row r="141" customFormat="false" ht="15.75" hidden="false" customHeight="false" outlineLevel="0" collapsed="false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</row>
    <row r="142" customFormat="false" ht="15.75" hidden="false" customHeight="false" outlineLevel="0" collapsed="false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</row>
    <row r="143" customFormat="false" ht="15.75" hidden="false" customHeight="false" outlineLevel="0" collapsed="false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</row>
    <row r="144" customFormat="false" ht="15.75" hidden="false" customHeight="false" outlineLevel="0" collapsed="false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</row>
    <row r="145" customFormat="false" ht="15.75" hidden="false" customHeight="false" outlineLevel="0" collapsed="false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</row>
    <row r="146" customFormat="false" ht="15.75" hidden="false" customHeight="false" outlineLevel="0" collapsed="false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</row>
    <row r="147" customFormat="false" ht="15.75" hidden="false" customHeight="false" outlineLevel="0" collapsed="false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</row>
    <row r="148" customFormat="false" ht="15.75" hidden="false" customHeight="false" outlineLevel="0" collapsed="false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</row>
    <row r="149" customFormat="false" ht="15.75" hidden="false" customHeight="false" outlineLevel="0" collapsed="false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</row>
    <row r="150" customFormat="false" ht="15.75" hidden="false" customHeight="false" outlineLevel="0" collapsed="false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</row>
    <row r="151" customFormat="false" ht="15.75" hidden="false" customHeight="false" outlineLevel="0" collapsed="false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</row>
    <row r="152" customFormat="false" ht="15.75" hidden="false" customHeight="false" outlineLevel="0" collapsed="false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</row>
    <row r="153" customFormat="false" ht="15.75" hidden="false" customHeight="false" outlineLevel="0" collapsed="false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</row>
    <row r="154" customFormat="false" ht="15.75" hidden="false" customHeight="false" outlineLevel="0" collapsed="false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</row>
    <row r="155" customFormat="false" ht="15.75" hidden="false" customHeight="false" outlineLevel="0" collapsed="false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</row>
    <row r="156" customFormat="false" ht="15.75" hidden="false" customHeight="false" outlineLevel="0" collapsed="false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</row>
    <row r="157" customFormat="false" ht="15.75" hidden="false" customHeight="false" outlineLevel="0" collapsed="false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</row>
    <row r="158" customFormat="false" ht="15.75" hidden="false" customHeight="false" outlineLevel="0" collapsed="false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</row>
    <row r="159" customFormat="false" ht="15.75" hidden="false" customHeight="false" outlineLevel="0" collapsed="false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</row>
    <row r="160" customFormat="false" ht="15.75" hidden="false" customHeight="false" outlineLevel="0" collapsed="false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</row>
    <row r="161" customFormat="false" ht="15.75" hidden="false" customHeight="false" outlineLevel="0" collapsed="false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</row>
    <row r="162" customFormat="false" ht="15.75" hidden="false" customHeight="false" outlineLevel="0" collapsed="false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</row>
    <row r="163" customFormat="false" ht="15.75" hidden="false" customHeight="false" outlineLevel="0" collapsed="false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</row>
    <row r="164" customFormat="false" ht="15.75" hidden="false" customHeight="false" outlineLevel="0" collapsed="false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</row>
    <row r="165" customFormat="false" ht="15.75" hidden="false" customHeight="false" outlineLevel="0" collapsed="false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</row>
    <row r="166" customFormat="false" ht="15.75" hidden="false" customHeight="false" outlineLevel="0" collapsed="false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</row>
    <row r="167" customFormat="false" ht="15.75" hidden="false" customHeight="false" outlineLevel="0" collapsed="false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</row>
    <row r="168" customFormat="false" ht="15.75" hidden="false" customHeight="false" outlineLevel="0" collapsed="false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 customFormat="false" ht="15.75" hidden="false" customHeight="false" outlineLevel="0" collapsed="false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</row>
    <row r="170" customFormat="false" ht="15.75" hidden="false" customHeight="false" outlineLevel="0" collapsed="false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</row>
    <row r="171" customFormat="false" ht="15.75" hidden="false" customHeight="false" outlineLevel="0" collapsed="false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</row>
    <row r="172" customFormat="false" ht="15.75" hidden="false" customHeight="false" outlineLevel="0" collapsed="false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</row>
    <row r="173" customFormat="false" ht="15.75" hidden="false" customHeight="false" outlineLevel="0" collapsed="false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</row>
    <row r="174" customFormat="false" ht="15.75" hidden="false" customHeight="false" outlineLevel="0" collapsed="false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</row>
    <row r="175" customFormat="false" ht="15.75" hidden="false" customHeight="false" outlineLevel="0" collapsed="false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</row>
    <row r="176" customFormat="false" ht="15.75" hidden="false" customHeight="false" outlineLevel="0" collapsed="false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</row>
    <row r="177" customFormat="false" ht="15.75" hidden="false" customHeight="false" outlineLevel="0" collapsed="false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</row>
    <row r="178" customFormat="false" ht="15.75" hidden="false" customHeight="false" outlineLevel="0" collapsed="false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</row>
    <row r="179" customFormat="false" ht="15.75" hidden="false" customHeight="false" outlineLevel="0" collapsed="false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</row>
    <row r="180" customFormat="false" ht="15.75" hidden="false" customHeight="false" outlineLevel="0" collapsed="false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</row>
    <row r="181" customFormat="false" ht="15.75" hidden="false" customHeight="false" outlineLevel="0" collapsed="false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</row>
    <row r="182" customFormat="false" ht="15.75" hidden="false" customHeight="false" outlineLevel="0" collapsed="false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 customFormat="false" ht="15.75" hidden="false" customHeight="false" outlineLevel="0" collapsed="false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 customFormat="false" ht="15.75" hidden="false" customHeight="false" outlineLevel="0" collapsed="false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 customFormat="false" ht="15.75" hidden="false" customHeight="false" outlineLevel="0" collapsed="false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 customFormat="false" ht="15.75" hidden="false" customHeight="false" outlineLevel="0" collapsed="false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 customFormat="false" ht="15.75" hidden="false" customHeight="false" outlineLevel="0" collapsed="false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 customFormat="false" ht="15.75" hidden="false" customHeight="false" outlineLevel="0" collapsed="false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 customFormat="false" ht="15.75" hidden="false" customHeight="false" outlineLevel="0" collapsed="false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 customFormat="false" ht="15.75" hidden="false" customHeight="false" outlineLevel="0" collapsed="false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 customFormat="false" ht="15.75" hidden="false" customHeight="false" outlineLevel="0" collapsed="false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 customFormat="false" ht="15.75" hidden="false" customHeight="false" outlineLevel="0" collapsed="false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 customFormat="false" ht="15.75" hidden="false" customHeight="false" outlineLevel="0" collapsed="false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 customFormat="false" ht="15.75" hidden="false" customHeight="false" outlineLevel="0" collapsed="false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 customFormat="false" ht="15.75" hidden="false" customHeight="false" outlineLevel="0" collapsed="false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 customFormat="false" ht="15.75" hidden="false" customHeight="false" outlineLevel="0" collapsed="false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 customFormat="false" ht="15.75" hidden="false" customHeight="false" outlineLevel="0" collapsed="false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 customFormat="false" ht="15.75" hidden="false" customHeight="false" outlineLevel="0" collapsed="false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 customFormat="false" ht="15.75" hidden="false" customHeight="false" outlineLevel="0" collapsed="false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 customFormat="false" ht="15.75" hidden="false" customHeight="false" outlineLevel="0" collapsed="false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  <row r="201" customFormat="false" ht="15.75" hidden="false" customHeight="false" outlineLevel="0" collapsed="false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</row>
    <row r="202" customFormat="false" ht="15.75" hidden="false" customHeight="false" outlineLevel="0" collapsed="false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</row>
    <row r="203" customFormat="false" ht="15.75" hidden="false" customHeight="false" outlineLevel="0" collapsed="false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</row>
    <row r="204" customFormat="false" ht="15.75" hidden="false" customHeight="false" outlineLevel="0" collapsed="false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</row>
    <row r="205" customFormat="false" ht="15.75" hidden="false" customHeight="false" outlineLevel="0" collapsed="false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 customFormat="false" ht="15.75" hidden="false" customHeight="false" outlineLevel="0" collapsed="false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</row>
    <row r="207" customFormat="false" ht="15.75" hidden="false" customHeight="false" outlineLevel="0" collapsed="false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</row>
    <row r="208" customFormat="false" ht="15.75" hidden="false" customHeight="false" outlineLevel="0" collapsed="false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</row>
    <row r="209" customFormat="false" ht="15.75" hidden="false" customHeight="false" outlineLevel="0" collapsed="false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</row>
    <row r="210" customFormat="false" ht="15.75" hidden="false" customHeight="false" outlineLevel="0" collapsed="false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</row>
    <row r="211" customFormat="false" ht="15.75" hidden="false" customHeight="false" outlineLevel="0" collapsed="false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</row>
    <row r="212" customFormat="false" ht="15.75" hidden="false" customHeight="false" outlineLevel="0" collapsed="false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</row>
    <row r="213" customFormat="false" ht="15.75" hidden="false" customHeight="false" outlineLevel="0" collapsed="false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</row>
    <row r="214" customFormat="false" ht="15.75" hidden="false" customHeight="false" outlineLevel="0" collapsed="false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</row>
    <row r="215" customFormat="false" ht="15.75" hidden="false" customHeight="false" outlineLevel="0" collapsed="false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</row>
    <row r="216" customFormat="false" ht="15.75" hidden="false" customHeight="false" outlineLevel="0" collapsed="false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</row>
    <row r="217" customFormat="false" ht="15.75" hidden="false" customHeight="false" outlineLevel="0" collapsed="false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</row>
    <row r="218" customFormat="false" ht="15.75" hidden="false" customHeight="false" outlineLevel="0" collapsed="false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</row>
    <row r="219" customFormat="false" ht="15.75" hidden="false" customHeight="false" outlineLevel="0" collapsed="false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</row>
    <row r="220" customFormat="false" ht="15.75" hidden="false" customHeight="false" outlineLevel="0" collapsed="false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 customFormat="false" ht="15.75" hidden="false" customHeight="false" outlineLevel="0" collapsed="false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</row>
    <row r="222" customFormat="false" ht="15.75" hidden="false" customHeight="false" outlineLevel="0" collapsed="false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</row>
    <row r="223" customFormat="false" ht="15.75" hidden="false" customHeight="false" outlineLevel="0" collapsed="false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</row>
    <row r="224" customFormat="false" ht="15.75" hidden="false" customHeight="false" outlineLevel="0" collapsed="false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</row>
    <row r="225" customFormat="false" ht="15.75" hidden="false" customHeight="false" outlineLevel="0" collapsed="false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</row>
    <row r="226" customFormat="false" ht="15.75" hidden="false" customHeight="false" outlineLevel="0" collapsed="false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</row>
    <row r="227" customFormat="false" ht="15.75" hidden="false" customHeight="false" outlineLevel="0" collapsed="false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</row>
    <row r="228" customFormat="false" ht="15.75" hidden="false" customHeight="false" outlineLevel="0" collapsed="false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</row>
    <row r="229" customFormat="false" ht="15.75" hidden="false" customHeight="false" outlineLevel="0" collapsed="false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</row>
    <row r="230" customFormat="false" ht="15.75" hidden="false" customHeight="false" outlineLevel="0" collapsed="false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</row>
    <row r="231" customFormat="false" ht="15.75" hidden="false" customHeight="false" outlineLevel="0" collapsed="false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</row>
    <row r="232" customFormat="false" ht="15.75" hidden="false" customHeight="false" outlineLevel="0" collapsed="false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</row>
    <row r="233" customFormat="false" ht="15.75" hidden="false" customHeight="false" outlineLevel="0" collapsed="false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</row>
    <row r="234" customFormat="false" ht="15.75" hidden="false" customHeight="false" outlineLevel="0" collapsed="false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</row>
    <row r="235" customFormat="false" ht="15.75" hidden="false" customHeight="false" outlineLevel="0" collapsed="false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</row>
    <row r="236" customFormat="false" ht="15.75" hidden="false" customHeight="false" outlineLevel="0" collapsed="false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</row>
    <row r="237" customFormat="false" ht="15.75" hidden="false" customHeight="false" outlineLevel="0" collapsed="false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</row>
    <row r="238" customFormat="false" ht="15.75" hidden="false" customHeight="false" outlineLevel="0" collapsed="false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</row>
    <row r="239" customFormat="false" ht="15.75" hidden="false" customHeight="false" outlineLevel="0" collapsed="false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</row>
    <row r="240" customFormat="false" ht="15.75" hidden="false" customHeight="false" outlineLevel="0" collapsed="false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</row>
    <row r="241" customFormat="false" ht="15.75" hidden="false" customHeight="false" outlineLevel="0" collapsed="false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</row>
    <row r="242" customFormat="false" ht="15.75" hidden="false" customHeight="false" outlineLevel="0" collapsed="false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</row>
    <row r="243" customFormat="false" ht="15.75" hidden="false" customHeight="false" outlineLevel="0" collapsed="false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</row>
    <row r="244" customFormat="false" ht="15.75" hidden="false" customHeight="false" outlineLevel="0" collapsed="false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</row>
    <row r="245" customFormat="false" ht="15.75" hidden="false" customHeight="false" outlineLevel="0" collapsed="false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 customFormat="false" ht="15.75" hidden="false" customHeight="false" outlineLevel="0" collapsed="false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</row>
    <row r="247" customFormat="false" ht="15.75" hidden="false" customHeight="false" outlineLevel="0" collapsed="false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</row>
    <row r="248" customFormat="false" ht="15.75" hidden="false" customHeight="false" outlineLevel="0" collapsed="false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</row>
    <row r="249" customFormat="false" ht="15.75" hidden="false" customHeight="false" outlineLevel="0" collapsed="false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</row>
    <row r="250" customFormat="false" ht="15.75" hidden="false" customHeight="false" outlineLevel="0" collapsed="false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</row>
    <row r="251" customFormat="false" ht="15.75" hidden="false" customHeight="false" outlineLevel="0" collapsed="false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</row>
    <row r="252" customFormat="false" ht="15.75" hidden="false" customHeight="false" outlineLevel="0" collapsed="false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</row>
    <row r="253" customFormat="false" ht="15.75" hidden="false" customHeight="false" outlineLevel="0" collapsed="false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</row>
    <row r="254" customFormat="false" ht="15.75" hidden="false" customHeight="false" outlineLevel="0" collapsed="false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</row>
    <row r="255" customFormat="false" ht="15.75" hidden="false" customHeight="false" outlineLevel="0" collapsed="false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</row>
    <row r="256" customFormat="false" ht="15.75" hidden="false" customHeight="false" outlineLevel="0" collapsed="false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</row>
    <row r="257" customFormat="false" ht="15.75" hidden="false" customHeight="false" outlineLevel="0" collapsed="false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</row>
    <row r="258" customFormat="false" ht="15.75" hidden="false" customHeight="false" outlineLevel="0" collapsed="false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</row>
    <row r="259" customFormat="false" ht="15.75" hidden="false" customHeight="false" outlineLevel="0" collapsed="false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</row>
    <row r="260" customFormat="false" ht="15.75" hidden="false" customHeight="false" outlineLevel="0" collapsed="false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</row>
    <row r="261" customFormat="false" ht="15.75" hidden="false" customHeight="false" outlineLevel="0" collapsed="false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</row>
    <row r="262" customFormat="false" ht="15.75" hidden="false" customHeight="false" outlineLevel="0" collapsed="false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</row>
    <row r="263" customFormat="false" ht="15.75" hidden="false" customHeight="false" outlineLevel="0" collapsed="false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</row>
    <row r="264" customFormat="false" ht="15.75" hidden="false" customHeight="false" outlineLevel="0" collapsed="false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</row>
    <row r="265" customFormat="false" ht="15.75" hidden="false" customHeight="false" outlineLevel="0" collapsed="false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</row>
    <row r="266" customFormat="false" ht="15.75" hidden="false" customHeight="false" outlineLevel="0" collapsed="false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</row>
    <row r="267" customFormat="false" ht="15.75" hidden="false" customHeight="false" outlineLevel="0" collapsed="false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</row>
    <row r="268" customFormat="false" ht="15.75" hidden="false" customHeight="false" outlineLevel="0" collapsed="false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</row>
    <row r="269" customFormat="false" ht="15.75" hidden="false" customHeight="false" outlineLevel="0" collapsed="false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</row>
    <row r="270" customFormat="false" ht="15.75" hidden="false" customHeight="false" outlineLevel="0" collapsed="false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</row>
    <row r="271" customFormat="false" ht="15.75" hidden="false" customHeight="false" outlineLevel="0" collapsed="false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</row>
    <row r="272" customFormat="false" ht="15.75" hidden="false" customHeight="false" outlineLevel="0" collapsed="false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</row>
    <row r="273" customFormat="false" ht="15.75" hidden="false" customHeight="false" outlineLevel="0" collapsed="false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</row>
    <row r="274" customFormat="false" ht="15.75" hidden="false" customHeight="false" outlineLevel="0" collapsed="false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</row>
    <row r="275" customFormat="false" ht="15.75" hidden="false" customHeight="false" outlineLevel="0" collapsed="false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</row>
    <row r="276" customFormat="false" ht="15.75" hidden="false" customHeight="false" outlineLevel="0" collapsed="false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</row>
    <row r="277" customFormat="false" ht="15.75" hidden="false" customHeight="false" outlineLevel="0" collapsed="false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</row>
    <row r="278" customFormat="false" ht="15.75" hidden="false" customHeight="false" outlineLevel="0" collapsed="false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</row>
    <row r="279" customFormat="false" ht="15.75" hidden="false" customHeight="false" outlineLevel="0" collapsed="false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</row>
    <row r="280" customFormat="false" ht="15.75" hidden="false" customHeight="false" outlineLevel="0" collapsed="false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</row>
    <row r="281" customFormat="false" ht="15.75" hidden="false" customHeight="false" outlineLevel="0" collapsed="false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</row>
    <row r="282" customFormat="false" ht="15.75" hidden="false" customHeight="false" outlineLevel="0" collapsed="false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</row>
    <row r="283" customFormat="false" ht="15.75" hidden="false" customHeight="false" outlineLevel="0" collapsed="false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</row>
    <row r="284" customFormat="false" ht="15.75" hidden="false" customHeight="false" outlineLevel="0" collapsed="false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</row>
    <row r="285" customFormat="false" ht="15.75" hidden="false" customHeight="false" outlineLevel="0" collapsed="false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</row>
    <row r="286" customFormat="false" ht="15.75" hidden="false" customHeight="false" outlineLevel="0" collapsed="false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</row>
    <row r="287" customFormat="false" ht="15.75" hidden="false" customHeight="false" outlineLevel="0" collapsed="false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</row>
    <row r="288" customFormat="false" ht="15.75" hidden="false" customHeight="false" outlineLevel="0" collapsed="false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</row>
    <row r="289" customFormat="false" ht="15.75" hidden="false" customHeight="false" outlineLevel="0" collapsed="false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</row>
    <row r="290" customFormat="false" ht="15.75" hidden="false" customHeight="false" outlineLevel="0" collapsed="false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</row>
    <row r="291" customFormat="false" ht="15.75" hidden="false" customHeight="false" outlineLevel="0" collapsed="false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</row>
    <row r="292" customFormat="false" ht="15.75" hidden="false" customHeight="false" outlineLevel="0" collapsed="false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</row>
    <row r="293" customFormat="false" ht="15.75" hidden="false" customHeight="false" outlineLevel="0" collapsed="false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</row>
    <row r="294" customFormat="false" ht="15.75" hidden="false" customHeight="false" outlineLevel="0" collapsed="false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</row>
    <row r="295" customFormat="false" ht="15.75" hidden="false" customHeight="false" outlineLevel="0" collapsed="false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</row>
    <row r="296" customFormat="false" ht="15.75" hidden="false" customHeight="false" outlineLevel="0" collapsed="false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</row>
    <row r="297" customFormat="false" ht="15.75" hidden="false" customHeight="false" outlineLevel="0" collapsed="false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</row>
    <row r="298" customFormat="false" ht="15.75" hidden="false" customHeight="false" outlineLevel="0" collapsed="false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</row>
    <row r="299" customFormat="false" ht="15.75" hidden="false" customHeight="false" outlineLevel="0" collapsed="false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</row>
    <row r="300" customFormat="false" ht="15.75" hidden="false" customHeight="false" outlineLevel="0" collapsed="false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</row>
    <row r="301" customFormat="false" ht="15.75" hidden="false" customHeight="false" outlineLevel="0" collapsed="false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</row>
    <row r="302" customFormat="false" ht="15.75" hidden="false" customHeight="false" outlineLevel="0" collapsed="false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</row>
    <row r="303" customFormat="false" ht="15.75" hidden="false" customHeight="false" outlineLevel="0" collapsed="false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</row>
    <row r="304" customFormat="false" ht="15.75" hidden="false" customHeight="false" outlineLevel="0" collapsed="false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</row>
    <row r="305" customFormat="false" ht="15.75" hidden="false" customHeight="false" outlineLevel="0" collapsed="false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</row>
    <row r="306" customFormat="false" ht="15.75" hidden="false" customHeight="false" outlineLevel="0" collapsed="false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</row>
    <row r="307" customFormat="false" ht="15.75" hidden="false" customHeight="false" outlineLevel="0" collapsed="false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</row>
    <row r="308" customFormat="false" ht="15.75" hidden="false" customHeight="false" outlineLevel="0" collapsed="false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</row>
    <row r="309" customFormat="false" ht="15.75" hidden="false" customHeight="false" outlineLevel="0" collapsed="false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</row>
    <row r="310" customFormat="false" ht="15.75" hidden="false" customHeight="false" outlineLevel="0" collapsed="false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</row>
    <row r="311" customFormat="false" ht="15.75" hidden="false" customHeight="false" outlineLevel="0" collapsed="false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</row>
    <row r="312" customFormat="false" ht="15.75" hidden="false" customHeight="false" outlineLevel="0" collapsed="false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</row>
    <row r="313" customFormat="false" ht="15.75" hidden="false" customHeight="false" outlineLevel="0" collapsed="false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</row>
    <row r="314" customFormat="false" ht="15.75" hidden="false" customHeight="false" outlineLevel="0" collapsed="false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</row>
    <row r="315" customFormat="false" ht="15.75" hidden="false" customHeight="false" outlineLevel="0" collapsed="false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</row>
    <row r="316" customFormat="false" ht="15.75" hidden="false" customHeight="false" outlineLevel="0" collapsed="false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</row>
    <row r="317" customFormat="false" ht="15.75" hidden="false" customHeight="false" outlineLevel="0" collapsed="false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</row>
    <row r="318" customFormat="false" ht="15.75" hidden="false" customHeight="false" outlineLevel="0" collapsed="false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</row>
    <row r="319" customFormat="false" ht="15.75" hidden="false" customHeight="false" outlineLevel="0" collapsed="false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</row>
    <row r="320" customFormat="false" ht="15.75" hidden="false" customHeight="false" outlineLevel="0" collapsed="false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</row>
    <row r="321" customFormat="false" ht="15.75" hidden="false" customHeight="false" outlineLevel="0" collapsed="false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</row>
    <row r="322" customFormat="false" ht="15.75" hidden="false" customHeight="false" outlineLevel="0" collapsed="false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</row>
    <row r="323" customFormat="false" ht="15.75" hidden="false" customHeight="false" outlineLevel="0" collapsed="false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</row>
    <row r="324" customFormat="false" ht="15.75" hidden="false" customHeight="false" outlineLevel="0" collapsed="false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</row>
    <row r="325" customFormat="false" ht="15.75" hidden="false" customHeight="false" outlineLevel="0" collapsed="false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</row>
    <row r="326" customFormat="false" ht="15.75" hidden="false" customHeight="false" outlineLevel="0" collapsed="false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</row>
    <row r="327" customFormat="false" ht="15.75" hidden="false" customHeight="false" outlineLevel="0" collapsed="false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</row>
    <row r="328" customFormat="false" ht="15.75" hidden="false" customHeight="false" outlineLevel="0" collapsed="false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</row>
    <row r="329" customFormat="false" ht="15.75" hidden="false" customHeight="false" outlineLevel="0" collapsed="false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</row>
    <row r="330" customFormat="false" ht="15.75" hidden="false" customHeight="false" outlineLevel="0" collapsed="false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</row>
    <row r="331" customFormat="false" ht="15.75" hidden="false" customHeight="false" outlineLevel="0" collapsed="false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</row>
    <row r="332" customFormat="false" ht="15.75" hidden="false" customHeight="false" outlineLevel="0" collapsed="false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</row>
    <row r="333" customFormat="false" ht="15.75" hidden="false" customHeight="false" outlineLevel="0" collapsed="false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</row>
    <row r="334" customFormat="false" ht="15.75" hidden="false" customHeight="false" outlineLevel="0" collapsed="false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</row>
    <row r="335" customFormat="false" ht="15.75" hidden="false" customHeight="false" outlineLevel="0" collapsed="false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</row>
    <row r="336" customFormat="false" ht="15.75" hidden="false" customHeight="false" outlineLevel="0" collapsed="false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</row>
    <row r="337" customFormat="false" ht="15.75" hidden="false" customHeight="false" outlineLevel="0" collapsed="false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</row>
    <row r="338" customFormat="false" ht="15.75" hidden="false" customHeight="false" outlineLevel="0" collapsed="false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</row>
    <row r="339" customFormat="false" ht="15.75" hidden="false" customHeight="false" outlineLevel="0" collapsed="false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</row>
    <row r="340" customFormat="false" ht="15.75" hidden="false" customHeight="false" outlineLevel="0" collapsed="false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</row>
    <row r="341" customFormat="false" ht="15.75" hidden="false" customHeight="false" outlineLevel="0" collapsed="false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</row>
    <row r="342" customFormat="false" ht="15.75" hidden="false" customHeight="false" outlineLevel="0" collapsed="false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</row>
    <row r="343" customFormat="false" ht="15.75" hidden="false" customHeight="false" outlineLevel="0" collapsed="false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</row>
    <row r="344" customFormat="false" ht="15.75" hidden="false" customHeight="false" outlineLevel="0" collapsed="false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</row>
    <row r="345" customFormat="false" ht="15.75" hidden="false" customHeight="false" outlineLevel="0" collapsed="false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</row>
    <row r="346" customFormat="false" ht="15.75" hidden="false" customHeight="false" outlineLevel="0" collapsed="false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</row>
    <row r="347" customFormat="false" ht="15.75" hidden="false" customHeight="false" outlineLevel="0" collapsed="false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</row>
    <row r="348" customFormat="false" ht="15.75" hidden="false" customHeight="false" outlineLevel="0" collapsed="false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</row>
    <row r="349" customFormat="false" ht="15.75" hidden="false" customHeight="false" outlineLevel="0" collapsed="false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</row>
    <row r="350" customFormat="false" ht="15.75" hidden="false" customHeight="false" outlineLevel="0" collapsed="false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</row>
    <row r="351" customFormat="false" ht="15.75" hidden="false" customHeight="false" outlineLevel="0" collapsed="false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</row>
    <row r="352" customFormat="false" ht="15.75" hidden="false" customHeight="false" outlineLevel="0" collapsed="false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</row>
    <row r="353" customFormat="false" ht="15.75" hidden="false" customHeight="false" outlineLevel="0" collapsed="false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</row>
    <row r="354" customFormat="false" ht="15.75" hidden="false" customHeight="false" outlineLevel="0" collapsed="false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</row>
    <row r="355" customFormat="false" ht="15.75" hidden="false" customHeight="false" outlineLevel="0" collapsed="false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</row>
    <row r="356" customFormat="false" ht="15.75" hidden="false" customHeight="false" outlineLevel="0" collapsed="false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</row>
    <row r="357" customFormat="false" ht="15.75" hidden="false" customHeight="false" outlineLevel="0" collapsed="false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</row>
    <row r="358" customFormat="false" ht="15.75" hidden="false" customHeight="false" outlineLevel="0" collapsed="false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</row>
    <row r="359" customFormat="false" ht="15.75" hidden="false" customHeight="false" outlineLevel="0" collapsed="false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</row>
    <row r="360" customFormat="false" ht="15.75" hidden="false" customHeight="false" outlineLevel="0" collapsed="false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</row>
    <row r="361" customFormat="false" ht="15.75" hidden="false" customHeight="false" outlineLevel="0" collapsed="false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</row>
    <row r="362" customFormat="false" ht="15.75" hidden="false" customHeight="false" outlineLevel="0" collapsed="false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</row>
    <row r="363" customFormat="false" ht="15.75" hidden="false" customHeight="false" outlineLevel="0" collapsed="false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</row>
    <row r="364" customFormat="false" ht="15.75" hidden="false" customHeight="false" outlineLevel="0" collapsed="false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</row>
    <row r="365" customFormat="false" ht="15.75" hidden="false" customHeight="false" outlineLevel="0" collapsed="false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</row>
    <row r="366" customFormat="false" ht="15.75" hidden="false" customHeight="false" outlineLevel="0" collapsed="false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</row>
    <row r="367" customFormat="false" ht="15.75" hidden="false" customHeight="false" outlineLevel="0" collapsed="false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</row>
    <row r="368" customFormat="false" ht="15.75" hidden="false" customHeight="false" outlineLevel="0" collapsed="false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</row>
    <row r="369" customFormat="false" ht="15.75" hidden="false" customHeight="false" outlineLevel="0" collapsed="false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</row>
    <row r="370" customFormat="false" ht="15.75" hidden="false" customHeight="false" outlineLevel="0" collapsed="false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</row>
    <row r="371" customFormat="false" ht="15.75" hidden="false" customHeight="false" outlineLevel="0" collapsed="false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</row>
    <row r="372" customFormat="false" ht="15.75" hidden="false" customHeight="false" outlineLevel="0" collapsed="false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</row>
    <row r="373" customFormat="false" ht="15.75" hidden="false" customHeight="false" outlineLevel="0" collapsed="false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</row>
    <row r="374" customFormat="false" ht="15.75" hidden="false" customHeight="false" outlineLevel="0" collapsed="false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</row>
    <row r="375" customFormat="false" ht="15.75" hidden="false" customHeight="false" outlineLevel="0" collapsed="false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</row>
    <row r="376" customFormat="false" ht="15.75" hidden="false" customHeight="false" outlineLevel="0" collapsed="false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</row>
    <row r="377" customFormat="false" ht="15.75" hidden="false" customHeight="false" outlineLevel="0" collapsed="false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</row>
    <row r="378" customFormat="false" ht="15.75" hidden="false" customHeight="false" outlineLevel="0" collapsed="false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</row>
    <row r="379" customFormat="false" ht="15.75" hidden="false" customHeight="false" outlineLevel="0" collapsed="false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</row>
    <row r="380" customFormat="false" ht="15.75" hidden="false" customHeight="false" outlineLevel="0" collapsed="false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</row>
    <row r="381" customFormat="false" ht="15.75" hidden="false" customHeight="false" outlineLevel="0" collapsed="false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</row>
    <row r="382" customFormat="false" ht="15.75" hidden="false" customHeight="false" outlineLevel="0" collapsed="false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</row>
    <row r="383" customFormat="false" ht="15.75" hidden="false" customHeight="false" outlineLevel="0" collapsed="false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</row>
    <row r="384" customFormat="false" ht="15.75" hidden="false" customHeight="false" outlineLevel="0" collapsed="false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</row>
    <row r="385" customFormat="false" ht="15.75" hidden="false" customHeight="false" outlineLevel="0" collapsed="false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</row>
    <row r="386" customFormat="false" ht="15.75" hidden="false" customHeight="false" outlineLevel="0" collapsed="false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</row>
    <row r="387" customFormat="false" ht="15.75" hidden="false" customHeight="false" outlineLevel="0" collapsed="false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</row>
    <row r="388" customFormat="false" ht="15.75" hidden="false" customHeight="false" outlineLevel="0" collapsed="false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</row>
    <row r="389" customFormat="false" ht="15.75" hidden="false" customHeight="false" outlineLevel="0" collapsed="false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</row>
    <row r="390" customFormat="false" ht="15.75" hidden="false" customHeight="false" outlineLevel="0" collapsed="false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</row>
    <row r="391" customFormat="false" ht="15.75" hidden="false" customHeight="false" outlineLevel="0" collapsed="false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</row>
    <row r="392" customFormat="false" ht="15.75" hidden="false" customHeight="false" outlineLevel="0" collapsed="false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</row>
    <row r="393" customFormat="false" ht="15.75" hidden="false" customHeight="false" outlineLevel="0" collapsed="false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</row>
    <row r="394" customFormat="false" ht="15.75" hidden="false" customHeight="false" outlineLevel="0" collapsed="false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</row>
    <row r="395" customFormat="false" ht="15.75" hidden="false" customHeight="false" outlineLevel="0" collapsed="false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</row>
    <row r="396" customFormat="false" ht="15.75" hidden="false" customHeight="false" outlineLevel="0" collapsed="false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</row>
    <row r="397" customFormat="false" ht="15.75" hidden="false" customHeight="false" outlineLevel="0" collapsed="false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</row>
    <row r="398" customFormat="false" ht="15.75" hidden="false" customHeight="false" outlineLevel="0" collapsed="false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</row>
    <row r="399" customFormat="false" ht="15.75" hidden="false" customHeight="false" outlineLevel="0" collapsed="false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</row>
    <row r="400" customFormat="false" ht="15.75" hidden="false" customHeight="false" outlineLevel="0" collapsed="false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</row>
    <row r="401" customFormat="false" ht="15.75" hidden="false" customHeight="false" outlineLevel="0" collapsed="false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</row>
    <row r="402" customFormat="false" ht="15.75" hidden="false" customHeight="false" outlineLevel="0" collapsed="false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</row>
    <row r="403" customFormat="false" ht="15.75" hidden="false" customHeight="false" outlineLevel="0" collapsed="false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</row>
    <row r="404" customFormat="false" ht="15.75" hidden="false" customHeight="false" outlineLevel="0" collapsed="false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</row>
    <row r="405" customFormat="false" ht="15.75" hidden="false" customHeight="false" outlineLevel="0" collapsed="false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</row>
    <row r="406" customFormat="false" ht="15.75" hidden="false" customHeight="false" outlineLevel="0" collapsed="false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</row>
    <row r="407" customFormat="false" ht="15.75" hidden="false" customHeight="false" outlineLevel="0" collapsed="false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</row>
    <row r="408" customFormat="false" ht="15.75" hidden="false" customHeight="false" outlineLevel="0" collapsed="false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</row>
    <row r="409" customFormat="false" ht="15.75" hidden="false" customHeight="false" outlineLevel="0" collapsed="false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</row>
    <row r="410" customFormat="false" ht="15.75" hidden="false" customHeight="false" outlineLevel="0" collapsed="false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</row>
    <row r="411" customFormat="false" ht="15.75" hidden="false" customHeight="false" outlineLevel="0" collapsed="false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</row>
    <row r="412" customFormat="false" ht="15.75" hidden="false" customHeight="false" outlineLevel="0" collapsed="false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</row>
    <row r="413" customFormat="false" ht="15.75" hidden="false" customHeight="false" outlineLevel="0" collapsed="false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</row>
    <row r="414" customFormat="false" ht="15.75" hidden="false" customHeight="false" outlineLevel="0" collapsed="false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</row>
    <row r="415" customFormat="false" ht="15.75" hidden="false" customHeight="false" outlineLevel="0" collapsed="false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</row>
    <row r="416" customFormat="false" ht="15.75" hidden="false" customHeight="false" outlineLevel="0" collapsed="false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</row>
    <row r="417" customFormat="false" ht="15.75" hidden="false" customHeight="false" outlineLevel="0" collapsed="false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</row>
    <row r="418" customFormat="false" ht="15.75" hidden="false" customHeight="false" outlineLevel="0" collapsed="false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</row>
    <row r="419" customFormat="false" ht="15.75" hidden="false" customHeight="false" outlineLevel="0" collapsed="false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</row>
    <row r="420" customFormat="false" ht="15.75" hidden="false" customHeight="false" outlineLevel="0" collapsed="false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</row>
    <row r="421" customFormat="false" ht="15.75" hidden="false" customHeight="false" outlineLevel="0" collapsed="false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</row>
    <row r="422" customFormat="false" ht="15.75" hidden="false" customHeight="false" outlineLevel="0" collapsed="false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</row>
    <row r="423" customFormat="false" ht="15.75" hidden="false" customHeight="false" outlineLevel="0" collapsed="false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</row>
    <row r="424" customFormat="false" ht="15.75" hidden="false" customHeight="false" outlineLevel="0" collapsed="false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</row>
    <row r="425" customFormat="false" ht="15.75" hidden="false" customHeight="false" outlineLevel="0" collapsed="false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</row>
    <row r="426" customFormat="false" ht="15.75" hidden="false" customHeight="false" outlineLevel="0" collapsed="false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</row>
    <row r="427" customFormat="false" ht="15.75" hidden="false" customHeight="false" outlineLevel="0" collapsed="false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</row>
    <row r="428" customFormat="false" ht="15.75" hidden="false" customHeight="false" outlineLevel="0" collapsed="false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</row>
    <row r="429" customFormat="false" ht="15.75" hidden="false" customHeight="false" outlineLevel="0" collapsed="false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</row>
    <row r="430" customFormat="false" ht="15.75" hidden="false" customHeight="false" outlineLevel="0" collapsed="false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</row>
    <row r="431" customFormat="false" ht="15.75" hidden="false" customHeight="false" outlineLevel="0" collapsed="false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</row>
    <row r="432" customFormat="false" ht="15.75" hidden="false" customHeight="false" outlineLevel="0" collapsed="false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</row>
    <row r="433" customFormat="false" ht="15.75" hidden="false" customHeight="false" outlineLevel="0" collapsed="false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</row>
    <row r="434" customFormat="false" ht="15.75" hidden="false" customHeight="false" outlineLevel="0" collapsed="false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</row>
    <row r="435" customFormat="false" ht="15.75" hidden="false" customHeight="false" outlineLevel="0" collapsed="false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</row>
    <row r="436" customFormat="false" ht="15.75" hidden="false" customHeight="false" outlineLevel="0" collapsed="false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</row>
    <row r="437" customFormat="false" ht="15.75" hidden="false" customHeight="false" outlineLevel="0" collapsed="false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</row>
    <row r="438" customFormat="false" ht="15.75" hidden="false" customHeight="false" outlineLevel="0" collapsed="false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</row>
    <row r="439" customFormat="false" ht="15.75" hidden="false" customHeight="false" outlineLevel="0" collapsed="false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</row>
    <row r="440" customFormat="false" ht="15.75" hidden="false" customHeight="false" outlineLevel="0" collapsed="false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</row>
    <row r="441" customFormat="false" ht="15.75" hidden="false" customHeight="false" outlineLevel="0" collapsed="false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</row>
    <row r="442" customFormat="false" ht="15.75" hidden="false" customHeight="false" outlineLevel="0" collapsed="false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</row>
    <row r="443" customFormat="false" ht="15.75" hidden="false" customHeight="false" outlineLevel="0" collapsed="false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</row>
    <row r="444" customFormat="false" ht="15.75" hidden="false" customHeight="false" outlineLevel="0" collapsed="false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</row>
    <row r="445" customFormat="false" ht="15.75" hidden="false" customHeight="false" outlineLevel="0" collapsed="false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</row>
    <row r="446" customFormat="false" ht="15.75" hidden="false" customHeight="false" outlineLevel="0" collapsed="false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</row>
    <row r="447" customFormat="false" ht="15.75" hidden="false" customHeight="false" outlineLevel="0" collapsed="false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</row>
    <row r="448" customFormat="false" ht="15.75" hidden="false" customHeight="false" outlineLevel="0" collapsed="false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</row>
    <row r="449" customFormat="false" ht="15.75" hidden="false" customHeight="false" outlineLevel="0" collapsed="false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</row>
    <row r="450" customFormat="false" ht="15.75" hidden="false" customHeight="false" outlineLevel="0" collapsed="false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</row>
    <row r="451" customFormat="false" ht="15.75" hidden="false" customHeight="false" outlineLevel="0" collapsed="false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</row>
    <row r="452" customFormat="false" ht="15.75" hidden="false" customHeight="false" outlineLevel="0" collapsed="false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</row>
    <row r="453" customFormat="false" ht="15.75" hidden="false" customHeight="false" outlineLevel="0" collapsed="false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</row>
    <row r="454" customFormat="false" ht="15.75" hidden="false" customHeight="false" outlineLevel="0" collapsed="false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</row>
    <row r="455" customFormat="false" ht="15.75" hidden="false" customHeight="false" outlineLevel="0" collapsed="false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</row>
    <row r="456" customFormat="false" ht="15.75" hidden="false" customHeight="false" outlineLevel="0" collapsed="false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</row>
    <row r="457" customFormat="false" ht="15.75" hidden="false" customHeight="false" outlineLevel="0" collapsed="false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</row>
    <row r="458" customFormat="false" ht="15.75" hidden="false" customHeight="false" outlineLevel="0" collapsed="false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</row>
    <row r="459" customFormat="false" ht="15.75" hidden="false" customHeight="false" outlineLevel="0" collapsed="false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</row>
    <row r="460" customFormat="false" ht="15.75" hidden="false" customHeight="false" outlineLevel="0" collapsed="false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</row>
    <row r="461" customFormat="false" ht="15.75" hidden="false" customHeight="false" outlineLevel="0" collapsed="false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</row>
    <row r="462" customFormat="false" ht="15.75" hidden="false" customHeight="false" outlineLevel="0" collapsed="false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</row>
    <row r="463" customFormat="false" ht="15.75" hidden="false" customHeight="false" outlineLevel="0" collapsed="false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</row>
    <row r="464" customFormat="false" ht="15.75" hidden="false" customHeight="false" outlineLevel="0" collapsed="false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</row>
    <row r="465" customFormat="false" ht="15.75" hidden="false" customHeight="false" outlineLevel="0" collapsed="false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</row>
    <row r="466" customFormat="false" ht="15.75" hidden="false" customHeight="false" outlineLevel="0" collapsed="false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</row>
    <row r="467" customFormat="false" ht="15.75" hidden="false" customHeight="false" outlineLevel="0" collapsed="false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</row>
    <row r="468" customFormat="false" ht="15.75" hidden="false" customHeight="false" outlineLevel="0" collapsed="false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</row>
    <row r="469" customFormat="false" ht="15.75" hidden="false" customHeight="false" outlineLevel="0" collapsed="false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</row>
    <row r="470" customFormat="false" ht="15.75" hidden="false" customHeight="false" outlineLevel="0" collapsed="false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</row>
    <row r="471" customFormat="false" ht="15.75" hidden="false" customHeight="false" outlineLevel="0" collapsed="false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</row>
    <row r="472" customFormat="false" ht="15.75" hidden="false" customHeight="false" outlineLevel="0" collapsed="false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</row>
    <row r="473" customFormat="false" ht="15.75" hidden="false" customHeight="false" outlineLevel="0" collapsed="false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</row>
    <row r="474" customFormat="false" ht="15.75" hidden="false" customHeight="false" outlineLevel="0" collapsed="false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</row>
    <row r="475" customFormat="false" ht="15.75" hidden="false" customHeight="false" outlineLevel="0" collapsed="false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</row>
    <row r="476" customFormat="false" ht="15.75" hidden="false" customHeight="false" outlineLevel="0" collapsed="false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</row>
    <row r="477" customFormat="false" ht="15.75" hidden="false" customHeight="false" outlineLevel="0" collapsed="false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</row>
    <row r="478" customFormat="false" ht="15.75" hidden="false" customHeight="false" outlineLevel="0" collapsed="false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</row>
    <row r="479" customFormat="false" ht="15.75" hidden="false" customHeight="false" outlineLevel="0" collapsed="false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</row>
    <row r="480" customFormat="false" ht="15.75" hidden="false" customHeight="false" outlineLevel="0" collapsed="false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</row>
    <row r="481" customFormat="false" ht="15.75" hidden="false" customHeight="false" outlineLevel="0" collapsed="false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</row>
    <row r="482" customFormat="false" ht="15.75" hidden="false" customHeight="false" outlineLevel="0" collapsed="false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</row>
    <row r="483" customFormat="false" ht="15.75" hidden="false" customHeight="false" outlineLevel="0" collapsed="false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</row>
    <row r="484" customFormat="false" ht="15.75" hidden="false" customHeight="false" outlineLevel="0" collapsed="false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</row>
    <row r="485" customFormat="false" ht="15.75" hidden="false" customHeight="false" outlineLevel="0" collapsed="false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</row>
    <row r="486" customFormat="false" ht="15.75" hidden="false" customHeight="false" outlineLevel="0" collapsed="false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</row>
    <row r="487" customFormat="false" ht="15.75" hidden="false" customHeight="false" outlineLevel="0" collapsed="false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</row>
    <row r="488" customFormat="false" ht="15.75" hidden="false" customHeight="false" outlineLevel="0" collapsed="false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</row>
    <row r="489" customFormat="false" ht="15.75" hidden="false" customHeight="false" outlineLevel="0" collapsed="false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</row>
    <row r="490" customFormat="false" ht="15.75" hidden="false" customHeight="false" outlineLevel="0" collapsed="false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</row>
    <row r="491" customFormat="false" ht="15.75" hidden="false" customHeight="false" outlineLevel="0" collapsed="false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</row>
    <row r="492" customFormat="false" ht="15.75" hidden="false" customHeight="false" outlineLevel="0" collapsed="false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</row>
    <row r="493" customFormat="false" ht="15.75" hidden="false" customHeight="false" outlineLevel="0" collapsed="false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</row>
    <row r="494" customFormat="false" ht="15.75" hidden="false" customHeight="false" outlineLevel="0" collapsed="false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</row>
    <row r="495" customFormat="false" ht="15.75" hidden="false" customHeight="false" outlineLevel="0" collapsed="false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</row>
    <row r="496" customFormat="false" ht="15.75" hidden="false" customHeight="false" outlineLevel="0" collapsed="false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</row>
    <row r="497" customFormat="false" ht="15.75" hidden="false" customHeight="false" outlineLevel="0" collapsed="false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</row>
    <row r="498" customFormat="false" ht="15.75" hidden="false" customHeight="false" outlineLevel="0" collapsed="false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</row>
    <row r="499" customFormat="false" ht="15.75" hidden="false" customHeight="false" outlineLevel="0" collapsed="false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</row>
    <row r="500" customFormat="false" ht="15.75" hidden="false" customHeight="false" outlineLevel="0" collapsed="false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</row>
    <row r="501" customFormat="false" ht="15.75" hidden="false" customHeight="false" outlineLevel="0" collapsed="false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</row>
    <row r="502" customFormat="false" ht="15.75" hidden="false" customHeight="false" outlineLevel="0" collapsed="false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</row>
    <row r="503" customFormat="false" ht="15.75" hidden="false" customHeight="false" outlineLevel="0" collapsed="false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</row>
    <row r="504" customFormat="false" ht="15.75" hidden="false" customHeight="false" outlineLevel="0" collapsed="false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</row>
    <row r="505" customFormat="false" ht="15.75" hidden="false" customHeight="false" outlineLevel="0" collapsed="false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</row>
    <row r="506" customFormat="false" ht="15.75" hidden="false" customHeight="false" outlineLevel="0" collapsed="false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</row>
    <row r="507" customFormat="false" ht="15.75" hidden="false" customHeight="false" outlineLevel="0" collapsed="false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</row>
    <row r="508" customFormat="false" ht="15.75" hidden="false" customHeight="false" outlineLevel="0" collapsed="false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</row>
    <row r="509" customFormat="false" ht="15.75" hidden="false" customHeight="false" outlineLevel="0" collapsed="false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</row>
    <row r="510" customFormat="false" ht="15.75" hidden="false" customHeight="false" outlineLevel="0" collapsed="false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</row>
    <row r="511" customFormat="false" ht="15.75" hidden="false" customHeight="false" outlineLevel="0" collapsed="false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</row>
    <row r="512" customFormat="false" ht="15.75" hidden="false" customHeight="false" outlineLevel="0" collapsed="false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</row>
    <row r="513" customFormat="false" ht="15.75" hidden="false" customHeight="false" outlineLevel="0" collapsed="false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</row>
    <row r="514" customFormat="false" ht="15.75" hidden="false" customHeight="false" outlineLevel="0" collapsed="false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</row>
    <row r="515" customFormat="false" ht="15.75" hidden="false" customHeight="false" outlineLevel="0" collapsed="false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</row>
    <row r="516" customFormat="false" ht="15.75" hidden="false" customHeight="false" outlineLevel="0" collapsed="false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</row>
    <row r="517" customFormat="false" ht="15.75" hidden="false" customHeight="false" outlineLevel="0" collapsed="false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</row>
    <row r="518" customFormat="false" ht="15.75" hidden="false" customHeight="false" outlineLevel="0" collapsed="false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</row>
    <row r="519" customFormat="false" ht="15.75" hidden="false" customHeight="false" outlineLevel="0" collapsed="false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</row>
    <row r="520" customFormat="false" ht="15.75" hidden="false" customHeight="false" outlineLevel="0" collapsed="false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</row>
    <row r="521" customFormat="false" ht="15.75" hidden="false" customHeight="false" outlineLevel="0" collapsed="false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</row>
    <row r="522" customFormat="false" ht="15.75" hidden="false" customHeight="false" outlineLevel="0" collapsed="false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</row>
    <row r="523" customFormat="false" ht="15.75" hidden="false" customHeight="false" outlineLevel="0" collapsed="false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</row>
    <row r="524" customFormat="false" ht="15.75" hidden="false" customHeight="false" outlineLevel="0" collapsed="false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</row>
    <row r="525" customFormat="false" ht="15.75" hidden="false" customHeight="false" outlineLevel="0" collapsed="false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</row>
    <row r="526" customFormat="false" ht="15.75" hidden="false" customHeight="false" outlineLevel="0" collapsed="false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</row>
    <row r="527" customFormat="false" ht="15.75" hidden="false" customHeight="false" outlineLevel="0" collapsed="false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</row>
    <row r="528" customFormat="false" ht="15.75" hidden="false" customHeight="false" outlineLevel="0" collapsed="false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</row>
    <row r="529" customFormat="false" ht="15.75" hidden="false" customHeight="false" outlineLevel="0" collapsed="false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</row>
    <row r="530" customFormat="false" ht="15.75" hidden="false" customHeight="false" outlineLevel="0" collapsed="false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</row>
    <row r="531" customFormat="false" ht="15.75" hidden="false" customHeight="false" outlineLevel="0" collapsed="false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</row>
    <row r="532" customFormat="false" ht="15.75" hidden="false" customHeight="false" outlineLevel="0" collapsed="false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</row>
    <row r="533" customFormat="false" ht="15.75" hidden="false" customHeight="false" outlineLevel="0" collapsed="false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</row>
    <row r="534" customFormat="false" ht="15.75" hidden="false" customHeight="false" outlineLevel="0" collapsed="false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</row>
    <row r="535" customFormat="false" ht="15.75" hidden="false" customHeight="false" outlineLevel="0" collapsed="false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</row>
    <row r="536" customFormat="false" ht="15.75" hidden="false" customHeight="false" outlineLevel="0" collapsed="false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</row>
    <row r="537" customFormat="false" ht="15.75" hidden="false" customHeight="false" outlineLevel="0" collapsed="false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</row>
    <row r="538" customFormat="false" ht="15.75" hidden="false" customHeight="false" outlineLevel="0" collapsed="false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</row>
    <row r="539" customFormat="false" ht="15.75" hidden="false" customHeight="false" outlineLevel="0" collapsed="false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</row>
    <row r="540" customFormat="false" ht="15.75" hidden="false" customHeight="false" outlineLevel="0" collapsed="false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</row>
    <row r="541" customFormat="false" ht="15.75" hidden="false" customHeight="false" outlineLevel="0" collapsed="false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</row>
    <row r="542" customFormat="false" ht="15.75" hidden="false" customHeight="false" outlineLevel="0" collapsed="false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</row>
    <row r="543" customFormat="false" ht="15.75" hidden="false" customHeight="false" outlineLevel="0" collapsed="false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</row>
    <row r="544" customFormat="false" ht="15.75" hidden="false" customHeight="false" outlineLevel="0" collapsed="false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</row>
    <row r="545" customFormat="false" ht="15.75" hidden="false" customHeight="false" outlineLevel="0" collapsed="false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</row>
    <row r="546" customFormat="false" ht="15.75" hidden="false" customHeight="false" outlineLevel="0" collapsed="false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</row>
    <row r="547" customFormat="false" ht="15.75" hidden="false" customHeight="false" outlineLevel="0" collapsed="false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</row>
    <row r="548" customFormat="false" ht="15.75" hidden="false" customHeight="false" outlineLevel="0" collapsed="false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</row>
    <row r="549" customFormat="false" ht="15.75" hidden="false" customHeight="false" outlineLevel="0" collapsed="false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</row>
    <row r="550" customFormat="false" ht="15.75" hidden="false" customHeight="false" outlineLevel="0" collapsed="false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</row>
    <row r="551" customFormat="false" ht="15.75" hidden="false" customHeight="false" outlineLevel="0" collapsed="false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</row>
    <row r="552" customFormat="false" ht="15.75" hidden="false" customHeight="false" outlineLevel="0" collapsed="false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</row>
    <row r="553" customFormat="false" ht="15.75" hidden="false" customHeight="false" outlineLevel="0" collapsed="false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</row>
    <row r="554" customFormat="false" ht="15.75" hidden="false" customHeight="false" outlineLevel="0" collapsed="false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</row>
    <row r="555" customFormat="false" ht="15.75" hidden="false" customHeight="false" outlineLevel="0" collapsed="false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</row>
    <row r="556" customFormat="false" ht="15.75" hidden="false" customHeight="false" outlineLevel="0" collapsed="false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</row>
    <row r="557" customFormat="false" ht="15.75" hidden="false" customHeight="false" outlineLevel="0" collapsed="false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</row>
    <row r="558" customFormat="false" ht="15.75" hidden="false" customHeight="false" outlineLevel="0" collapsed="false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</row>
    <row r="559" customFormat="false" ht="15.75" hidden="false" customHeight="false" outlineLevel="0" collapsed="false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</row>
    <row r="560" customFormat="false" ht="15.75" hidden="false" customHeight="false" outlineLevel="0" collapsed="false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</row>
    <row r="561" customFormat="false" ht="15.75" hidden="false" customHeight="false" outlineLevel="0" collapsed="false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</row>
    <row r="562" customFormat="false" ht="15.75" hidden="false" customHeight="false" outlineLevel="0" collapsed="false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</row>
    <row r="563" customFormat="false" ht="15.75" hidden="false" customHeight="false" outlineLevel="0" collapsed="false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</row>
    <row r="564" customFormat="false" ht="15.75" hidden="false" customHeight="false" outlineLevel="0" collapsed="false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</row>
    <row r="565" customFormat="false" ht="15.75" hidden="false" customHeight="false" outlineLevel="0" collapsed="false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</row>
    <row r="566" customFormat="false" ht="15.75" hidden="false" customHeight="false" outlineLevel="0" collapsed="false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</row>
    <row r="567" customFormat="false" ht="15.75" hidden="false" customHeight="false" outlineLevel="0" collapsed="false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</row>
    <row r="568" customFormat="false" ht="15.75" hidden="false" customHeight="false" outlineLevel="0" collapsed="false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</row>
    <row r="569" customFormat="false" ht="15.75" hidden="false" customHeight="false" outlineLevel="0" collapsed="false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</row>
    <row r="570" customFormat="false" ht="15.75" hidden="false" customHeight="false" outlineLevel="0" collapsed="false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</row>
    <row r="571" customFormat="false" ht="15.75" hidden="false" customHeight="false" outlineLevel="0" collapsed="false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</row>
    <row r="572" customFormat="false" ht="15.75" hidden="false" customHeight="false" outlineLevel="0" collapsed="false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</row>
    <row r="573" customFormat="false" ht="15.75" hidden="false" customHeight="false" outlineLevel="0" collapsed="false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</row>
    <row r="574" customFormat="false" ht="15.75" hidden="false" customHeight="false" outlineLevel="0" collapsed="false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</row>
    <row r="575" customFormat="false" ht="15.75" hidden="false" customHeight="false" outlineLevel="0" collapsed="false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</row>
    <row r="576" customFormat="false" ht="15.75" hidden="false" customHeight="false" outlineLevel="0" collapsed="false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</row>
    <row r="577" customFormat="false" ht="15.75" hidden="false" customHeight="false" outlineLevel="0" collapsed="false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</row>
    <row r="578" customFormat="false" ht="15.75" hidden="false" customHeight="false" outlineLevel="0" collapsed="false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</row>
    <row r="579" customFormat="false" ht="15.75" hidden="false" customHeight="false" outlineLevel="0" collapsed="false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</row>
    <row r="580" customFormat="false" ht="15.75" hidden="false" customHeight="false" outlineLevel="0" collapsed="false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</row>
    <row r="581" customFormat="false" ht="15.75" hidden="false" customHeight="false" outlineLevel="0" collapsed="false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</row>
    <row r="582" customFormat="false" ht="15.75" hidden="false" customHeight="false" outlineLevel="0" collapsed="false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</row>
    <row r="583" customFormat="false" ht="15.75" hidden="false" customHeight="false" outlineLevel="0" collapsed="false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</row>
    <row r="584" customFormat="false" ht="15.75" hidden="false" customHeight="false" outlineLevel="0" collapsed="false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</row>
    <row r="585" customFormat="false" ht="15.75" hidden="false" customHeight="false" outlineLevel="0" collapsed="false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</row>
    <row r="586" customFormat="false" ht="15.75" hidden="false" customHeight="false" outlineLevel="0" collapsed="false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</row>
    <row r="587" customFormat="false" ht="15.75" hidden="false" customHeight="false" outlineLevel="0" collapsed="false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</row>
    <row r="588" customFormat="false" ht="15.75" hidden="false" customHeight="false" outlineLevel="0" collapsed="false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</row>
    <row r="589" customFormat="false" ht="15.75" hidden="false" customHeight="false" outlineLevel="0" collapsed="false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</row>
    <row r="590" customFormat="false" ht="15.75" hidden="false" customHeight="false" outlineLevel="0" collapsed="false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</row>
    <row r="591" customFormat="false" ht="15.75" hidden="false" customHeight="false" outlineLevel="0" collapsed="false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</row>
    <row r="592" customFormat="false" ht="15.75" hidden="false" customHeight="false" outlineLevel="0" collapsed="false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</row>
    <row r="593" customFormat="false" ht="15.75" hidden="false" customHeight="false" outlineLevel="0" collapsed="false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</row>
    <row r="594" customFormat="false" ht="15.75" hidden="false" customHeight="false" outlineLevel="0" collapsed="false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</row>
    <row r="595" customFormat="false" ht="15.75" hidden="false" customHeight="false" outlineLevel="0" collapsed="false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</row>
    <row r="596" customFormat="false" ht="15.75" hidden="false" customHeight="false" outlineLevel="0" collapsed="false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</row>
    <row r="597" customFormat="false" ht="15.75" hidden="false" customHeight="false" outlineLevel="0" collapsed="false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</row>
    <row r="598" customFormat="false" ht="15.75" hidden="false" customHeight="false" outlineLevel="0" collapsed="false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</row>
    <row r="599" customFormat="false" ht="15.75" hidden="false" customHeight="false" outlineLevel="0" collapsed="false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</row>
    <row r="600" customFormat="false" ht="15.75" hidden="false" customHeight="false" outlineLevel="0" collapsed="false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</row>
    <row r="601" customFormat="false" ht="15.75" hidden="false" customHeight="false" outlineLevel="0" collapsed="false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</row>
    <row r="602" customFormat="false" ht="15.75" hidden="false" customHeight="false" outlineLevel="0" collapsed="false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</row>
    <row r="603" customFormat="false" ht="15.75" hidden="false" customHeight="false" outlineLevel="0" collapsed="false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</row>
    <row r="604" customFormat="false" ht="15.75" hidden="false" customHeight="false" outlineLevel="0" collapsed="false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</row>
    <row r="605" customFormat="false" ht="15.75" hidden="false" customHeight="false" outlineLevel="0" collapsed="false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</row>
    <row r="606" customFormat="false" ht="15.75" hidden="false" customHeight="false" outlineLevel="0" collapsed="false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</row>
    <row r="607" customFormat="false" ht="15.75" hidden="false" customHeight="false" outlineLevel="0" collapsed="false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</row>
    <row r="608" customFormat="false" ht="15.75" hidden="false" customHeight="false" outlineLevel="0" collapsed="false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</row>
    <row r="609" customFormat="false" ht="15.75" hidden="false" customHeight="false" outlineLevel="0" collapsed="false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</row>
    <row r="610" customFormat="false" ht="15.75" hidden="false" customHeight="false" outlineLevel="0" collapsed="false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</row>
    <row r="611" customFormat="false" ht="15.75" hidden="false" customHeight="false" outlineLevel="0" collapsed="false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</row>
    <row r="612" customFormat="false" ht="15.75" hidden="false" customHeight="false" outlineLevel="0" collapsed="false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</row>
    <row r="613" customFormat="false" ht="15.75" hidden="false" customHeight="false" outlineLevel="0" collapsed="false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</row>
    <row r="614" customFormat="false" ht="15.75" hidden="false" customHeight="false" outlineLevel="0" collapsed="false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</row>
    <row r="615" customFormat="false" ht="15.75" hidden="false" customHeight="false" outlineLevel="0" collapsed="false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</row>
    <row r="616" customFormat="false" ht="15.75" hidden="false" customHeight="false" outlineLevel="0" collapsed="false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</row>
    <row r="617" customFormat="false" ht="15.75" hidden="false" customHeight="false" outlineLevel="0" collapsed="false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</row>
    <row r="618" customFormat="false" ht="15.75" hidden="false" customHeight="false" outlineLevel="0" collapsed="false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</row>
    <row r="619" customFormat="false" ht="15.75" hidden="false" customHeight="false" outlineLevel="0" collapsed="false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</row>
    <row r="620" customFormat="false" ht="15.75" hidden="false" customHeight="false" outlineLevel="0" collapsed="false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</row>
    <row r="621" customFormat="false" ht="15.75" hidden="false" customHeight="false" outlineLevel="0" collapsed="false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</row>
    <row r="622" customFormat="false" ht="15.75" hidden="false" customHeight="false" outlineLevel="0" collapsed="false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</row>
    <row r="623" customFormat="false" ht="15.75" hidden="false" customHeight="false" outlineLevel="0" collapsed="false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</row>
    <row r="624" customFormat="false" ht="15.75" hidden="false" customHeight="false" outlineLevel="0" collapsed="false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</row>
    <row r="625" customFormat="false" ht="15.75" hidden="false" customHeight="false" outlineLevel="0" collapsed="false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</row>
    <row r="626" customFormat="false" ht="15.75" hidden="false" customHeight="false" outlineLevel="0" collapsed="false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</row>
    <row r="627" customFormat="false" ht="15.75" hidden="false" customHeight="false" outlineLevel="0" collapsed="false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</row>
    <row r="628" customFormat="false" ht="15.75" hidden="false" customHeight="false" outlineLevel="0" collapsed="false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</row>
    <row r="629" customFormat="false" ht="15.75" hidden="false" customHeight="false" outlineLevel="0" collapsed="false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</row>
    <row r="630" customFormat="false" ht="15.75" hidden="false" customHeight="false" outlineLevel="0" collapsed="false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</row>
    <row r="631" customFormat="false" ht="15.75" hidden="false" customHeight="false" outlineLevel="0" collapsed="false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</row>
    <row r="632" customFormat="false" ht="15.75" hidden="false" customHeight="false" outlineLevel="0" collapsed="false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</row>
    <row r="633" customFormat="false" ht="15.75" hidden="false" customHeight="false" outlineLevel="0" collapsed="false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</row>
    <row r="634" customFormat="false" ht="15.75" hidden="false" customHeight="false" outlineLevel="0" collapsed="false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</row>
    <row r="635" customFormat="false" ht="15.75" hidden="false" customHeight="false" outlineLevel="0" collapsed="false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</row>
    <row r="636" customFormat="false" ht="15.75" hidden="false" customHeight="false" outlineLevel="0" collapsed="false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</row>
    <row r="637" customFormat="false" ht="15.75" hidden="false" customHeight="false" outlineLevel="0" collapsed="false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</row>
    <row r="638" customFormat="false" ht="15.75" hidden="false" customHeight="false" outlineLevel="0" collapsed="false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</row>
    <row r="639" customFormat="false" ht="15.75" hidden="false" customHeight="false" outlineLevel="0" collapsed="false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</row>
    <row r="640" customFormat="false" ht="15.75" hidden="false" customHeight="false" outlineLevel="0" collapsed="false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</row>
    <row r="641" customFormat="false" ht="15.75" hidden="false" customHeight="false" outlineLevel="0" collapsed="false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</row>
    <row r="642" customFormat="false" ht="15.75" hidden="false" customHeight="false" outlineLevel="0" collapsed="false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</row>
    <row r="643" customFormat="false" ht="15.75" hidden="false" customHeight="false" outlineLevel="0" collapsed="false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</row>
    <row r="644" customFormat="false" ht="15.75" hidden="false" customHeight="false" outlineLevel="0" collapsed="false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</row>
    <row r="645" customFormat="false" ht="15.75" hidden="false" customHeight="false" outlineLevel="0" collapsed="false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</row>
    <row r="646" customFormat="false" ht="15.75" hidden="false" customHeight="false" outlineLevel="0" collapsed="false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</row>
    <row r="647" customFormat="false" ht="15.75" hidden="false" customHeight="false" outlineLevel="0" collapsed="false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</row>
    <row r="648" customFormat="false" ht="15.75" hidden="false" customHeight="false" outlineLevel="0" collapsed="false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</row>
    <row r="649" customFormat="false" ht="15.75" hidden="false" customHeight="false" outlineLevel="0" collapsed="false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</row>
    <row r="650" customFormat="false" ht="15.75" hidden="false" customHeight="false" outlineLevel="0" collapsed="false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</row>
    <row r="651" customFormat="false" ht="15.75" hidden="false" customHeight="false" outlineLevel="0" collapsed="false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</row>
    <row r="652" customFormat="false" ht="15.75" hidden="false" customHeight="false" outlineLevel="0" collapsed="false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</row>
    <row r="653" customFormat="false" ht="15.75" hidden="false" customHeight="false" outlineLevel="0" collapsed="false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</row>
    <row r="654" customFormat="false" ht="15.75" hidden="false" customHeight="false" outlineLevel="0" collapsed="false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</row>
    <row r="655" customFormat="false" ht="15.75" hidden="false" customHeight="false" outlineLevel="0" collapsed="false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</row>
    <row r="656" customFormat="false" ht="15.75" hidden="false" customHeight="false" outlineLevel="0" collapsed="false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</row>
    <row r="657" customFormat="false" ht="15.75" hidden="false" customHeight="false" outlineLevel="0" collapsed="false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</row>
    <row r="658" customFormat="false" ht="15.75" hidden="false" customHeight="false" outlineLevel="0" collapsed="false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</row>
    <row r="659" customFormat="false" ht="15.75" hidden="false" customHeight="false" outlineLevel="0" collapsed="false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</row>
    <row r="660" customFormat="false" ht="15.75" hidden="false" customHeight="false" outlineLevel="0" collapsed="false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</row>
    <row r="661" customFormat="false" ht="15.75" hidden="false" customHeight="false" outlineLevel="0" collapsed="false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</row>
    <row r="662" customFormat="false" ht="15.75" hidden="false" customHeight="false" outlineLevel="0" collapsed="false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</row>
    <row r="663" customFormat="false" ht="15.75" hidden="false" customHeight="false" outlineLevel="0" collapsed="false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</row>
    <row r="664" customFormat="false" ht="15.75" hidden="false" customHeight="false" outlineLevel="0" collapsed="false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</row>
    <row r="665" customFormat="false" ht="15.75" hidden="false" customHeight="false" outlineLevel="0" collapsed="false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</row>
    <row r="666" customFormat="false" ht="15.75" hidden="false" customHeight="false" outlineLevel="0" collapsed="false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</row>
    <row r="667" customFormat="false" ht="15.75" hidden="false" customHeight="false" outlineLevel="0" collapsed="false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</row>
    <row r="668" customFormat="false" ht="15.75" hidden="false" customHeight="false" outlineLevel="0" collapsed="false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</row>
    <row r="669" customFormat="false" ht="15.75" hidden="false" customHeight="false" outlineLevel="0" collapsed="false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</row>
    <row r="670" customFormat="false" ht="15.75" hidden="false" customHeight="false" outlineLevel="0" collapsed="false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</row>
    <row r="671" customFormat="false" ht="15.75" hidden="false" customHeight="false" outlineLevel="0" collapsed="false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</row>
    <row r="672" customFormat="false" ht="15.75" hidden="false" customHeight="false" outlineLevel="0" collapsed="false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</row>
    <row r="673" customFormat="false" ht="15.75" hidden="false" customHeight="false" outlineLevel="0" collapsed="false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</row>
    <row r="674" customFormat="false" ht="15.75" hidden="false" customHeight="false" outlineLevel="0" collapsed="false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</row>
    <row r="675" customFormat="false" ht="15.75" hidden="false" customHeight="false" outlineLevel="0" collapsed="false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</row>
    <row r="676" customFormat="false" ht="15.75" hidden="false" customHeight="false" outlineLevel="0" collapsed="false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</row>
    <row r="677" customFormat="false" ht="15.75" hidden="false" customHeight="false" outlineLevel="0" collapsed="false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</row>
    <row r="678" customFormat="false" ht="15.75" hidden="false" customHeight="false" outlineLevel="0" collapsed="false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</row>
    <row r="679" customFormat="false" ht="15.75" hidden="false" customHeight="false" outlineLevel="0" collapsed="false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</row>
    <row r="680" customFormat="false" ht="15.75" hidden="false" customHeight="false" outlineLevel="0" collapsed="false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</row>
    <row r="681" customFormat="false" ht="15.75" hidden="false" customHeight="false" outlineLevel="0" collapsed="false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</row>
    <row r="682" customFormat="false" ht="15.75" hidden="false" customHeight="false" outlineLevel="0" collapsed="false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</row>
    <row r="683" customFormat="false" ht="15.75" hidden="false" customHeight="false" outlineLevel="0" collapsed="false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</row>
    <row r="684" customFormat="false" ht="15.75" hidden="false" customHeight="false" outlineLevel="0" collapsed="false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</row>
    <row r="685" customFormat="false" ht="15.75" hidden="false" customHeight="false" outlineLevel="0" collapsed="false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</row>
    <row r="686" customFormat="false" ht="15.75" hidden="false" customHeight="false" outlineLevel="0" collapsed="false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</row>
    <row r="687" customFormat="false" ht="15.75" hidden="false" customHeight="false" outlineLevel="0" collapsed="false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</row>
    <row r="688" customFormat="false" ht="15.75" hidden="false" customHeight="false" outlineLevel="0" collapsed="false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</row>
    <row r="689" customFormat="false" ht="15.75" hidden="false" customHeight="false" outlineLevel="0" collapsed="false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</row>
    <row r="690" customFormat="false" ht="15.75" hidden="false" customHeight="false" outlineLevel="0" collapsed="false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</row>
    <row r="691" customFormat="false" ht="15.75" hidden="false" customHeight="false" outlineLevel="0" collapsed="false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</row>
    <row r="692" customFormat="false" ht="15.75" hidden="false" customHeight="false" outlineLevel="0" collapsed="false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</row>
    <row r="693" customFormat="false" ht="15.75" hidden="false" customHeight="false" outlineLevel="0" collapsed="false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</row>
    <row r="694" customFormat="false" ht="15.75" hidden="false" customHeight="false" outlineLevel="0" collapsed="false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</row>
    <row r="695" customFormat="false" ht="15.75" hidden="false" customHeight="false" outlineLevel="0" collapsed="false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</row>
    <row r="696" customFormat="false" ht="15.75" hidden="false" customHeight="false" outlineLevel="0" collapsed="false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</row>
    <row r="697" customFormat="false" ht="15.75" hidden="false" customHeight="false" outlineLevel="0" collapsed="false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</row>
    <row r="698" customFormat="false" ht="15.75" hidden="false" customHeight="false" outlineLevel="0" collapsed="false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</row>
    <row r="699" customFormat="false" ht="15.75" hidden="false" customHeight="false" outlineLevel="0" collapsed="false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</row>
    <row r="700" customFormat="false" ht="15.75" hidden="false" customHeight="false" outlineLevel="0" collapsed="false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</row>
    <row r="701" customFormat="false" ht="15.75" hidden="false" customHeight="false" outlineLevel="0" collapsed="false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</row>
    <row r="702" customFormat="false" ht="15.75" hidden="false" customHeight="false" outlineLevel="0" collapsed="false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</row>
    <row r="703" customFormat="false" ht="15.75" hidden="false" customHeight="false" outlineLevel="0" collapsed="false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</row>
    <row r="704" customFormat="false" ht="15.75" hidden="false" customHeight="false" outlineLevel="0" collapsed="false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</row>
    <row r="705" customFormat="false" ht="15.75" hidden="false" customHeight="false" outlineLevel="0" collapsed="false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</row>
    <row r="706" customFormat="false" ht="15.75" hidden="false" customHeight="false" outlineLevel="0" collapsed="false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</row>
    <row r="707" customFormat="false" ht="15.75" hidden="false" customHeight="false" outlineLevel="0" collapsed="false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</row>
    <row r="708" customFormat="false" ht="15.75" hidden="false" customHeight="false" outlineLevel="0" collapsed="false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</row>
    <row r="709" customFormat="false" ht="15.75" hidden="false" customHeight="false" outlineLevel="0" collapsed="false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</row>
    <row r="710" customFormat="false" ht="15.75" hidden="false" customHeight="false" outlineLevel="0" collapsed="false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</row>
    <row r="711" customFormat="false" ht="15.75" hidden="false" customHeight="false" outlineLevel="0" collapsed="false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</row>
    <row r="712" customFormat="false" ht="15.75" hidden="false" customHeight="false" outlineLevel="0" collapsed="false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</row>
    <row r="713" customFormat="false" ht="15.75" hidden="false" customHeight="false" outlineLevel="0" collapsed="false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</row>
    <row r="714" customFormat="false" ht="15.75" hidden="false" customHeight="false" outlineLevel="0" collapsed="false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</row>
    <row r="715" customFormat="false" ht="15.75" hidden="false" customHeight="false" outlineLevel="0" collapsed="false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</row>
    <row r="716" customFormat="false" ht="15.75" hidden="false" customHeight="false" outlineLevel="0" collapsed="false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</row>
    <row r="717" customFormat="false" ht="15.75" hidden="false" customHeight="false" outlineLevel="0" collapsed="false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</row>
    <row r="718" customFormat="false" ht="15.75" hidden="false" customHeight="false" outlineLevel="0" collapsed="false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</row>
    <row r="719" customFormat="false" ht="15.75" hidden="false" customHeight="false" outlineLevel="0" collapsed="false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</row>
    <row r="720" customFormat="false" ht="15.75" hidden="false" customHeight="false" outlineLevel="0" collapsed="false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</row>
    <row r="721" customFormat="false" ht="15.75" hidden="false" customHeight="false" outlineLevel="0" collapsed="false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</row>
    <row r="722" customFormat="false" ht="15.75" hidden="false" customHeight="false" outlineLevel="0" collapsed="false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</row>
    <row r="723" customFormat="false" ht="15.75" hidden="false" customHeight="false" outlineLevel="0" collapsed="false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</row>
    <row r="724" customFormat="false" ht="15.75" hidden="false" customHeight="false" outlineLevel="0" collapsed="false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</row>
    <row r="725" customFormat="false" ht="15.75" hidden="false" customHeight="false" outlineLevel="0" collapsed="false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</row>
    <row r="726" customFormat="false" ht="15.75" hidden="false" customHeight="false" outlineLevel="0" collapsed="false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</row>
    <row r="727" customFormat="false" ht="15.75" hidden="false" customHeight="false" outlineLevel="0" collapsed="false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</row>
    <row r="728" customFormat="false" ht="15.75" hidden="false" customHeight="false" outlineLevel="0" collapsed="false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</row>
    <row r="729" customFormat="false" ht="15.75" hidden="false" customHeight="false" outlineLevel="0" collapsed="false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</row>
    <row r="730" customFormat="false" ht="15.75" hidden="false" customHeight="false" outlineLevel="0" collapsed="false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</row>
    <row r="731" customFormat="false" ht="15.75" hidden="false" customHeight="false" outlineLevel="0" collapsed="false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</row>
    <row r="732" customFormat="false" ht="15.75" hidden="false" customHeight="false" outlineLevel="0" collapsed="false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</row>
    <row r="733" customFormat="false" ht="15.75" hidden="false" customHeight="false" outlineLevel="0" collapsed="false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</row>
    <row r="734" customFormat="false" ht="15.75" hidden="false" customHeight="false" outlineLevel="0" collapsed="false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</row>
    <row r="735" customFormat="false" ht="15.75" hidden="false" customHeight="false" outlineLevel="0" collapsed="false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</row>
    <row r="736" customFormat="false" ht="15.75" hidden="false" customHeight="false" outlineLevel="0" collapsed="false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</row>
    <row r="737" customFormat="false" ht="15.75" hidden="false" customHeight="false" outlineLevel="0" collapsed="false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</row>
    <row r="738" customFormat="false" ht="15.75" hidden="false" customHeight="false" outlineLevel="0" collapsed="false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</row>
    <row r="739" customFormat="false" ht="15.75" hidden="false" customHeight="false" outlineLevel="0" collapsed="false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</row>
    <row r="740" customFormat="false" ht="15.75" hidden="false" customHeight="false" outlineLevel="0" collapsed="false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</row>
    <row r="741" customFormat="false" ht="15.75" hidden="false" customHeight="false" outlineLevel="0" collapsed="false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</row>
    <row r="742" customFormat="false" ht="15.75" hidden="false" customHeight="false" outlineLevel="0" collapsed="false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</row>
    <row r="743" customFormat="false" ht="15.75" hidden="false" customHeight="false" outlineLevel="0" collapsed="false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</row>
    <row r="744" customFormat="false" ht="15.75" hidden="false" customHeight="false" outlineLevel="0" collapsed="false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</row>
    <row r="745" customFormat="false" ht="15.75" hidden="false" customHeight="false" outlineLevel="0" collapsed="false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</row>
    <row r="746" customFormat="false" ht="15.75" hidden="false" customHeight="false" outlineLevel="0" collapsed="false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</row>
    <row r="747" customFormat="false" ht="15.75" hidden="false" customHeight="false" outlineLevel="0" collapsed="false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</row>
    <row r="748" customFormat="false" ht="15.75" hidden="false" customHeight="false" outlineLevel="0" collapsed="false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</row>
    <row r="749" customFormat="false" ht="15.75" hidden="false" customHeight="false" outlineLevel="0" collapsed="false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</row>
    <row r="750" customFormat="false" ht="15.75" hidden="false" customHeight="false" outlineLevel="0" collapsed="false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</row>
    <row r="751" customFormat="false" ht="15.75" hidden="false" customHeight="false" outlineLevel="0" collapsed="false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</row>
    <row r="752" customFormat="false" ht="15.75" hidden="false" customHeight="false" outlineLevel="0" collapsed="false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</row>
    <row r="753" customFormat="false" ht="15.75" hidden="false" customHeight="false" outlineLevel="0" collapsed="false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</row>
    <row r="754" customFormat="false" ht="15.75" hidden="false" customHeight="false" outlineLevel="0" collapsed="false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</row>
    <row r="755" customFormat="false" ht="15.75" hidden="false" customHeight="false" outlineLevel="0" collapsed="false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</row>
    <row r="756" customFormat="false" ht="15.75" hidden="false" customHeight="false" outlineLevel="0" collapsed="false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</row>
    <row r="757" customFormat="false" ht="15.75" hidden="false" customHeight="false" outlineLevel="0" collapsed="false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</row>
    <row r="758" customFormat="false" ht="15.75" hidden="false" customHeight="false" outlineLevel="0" collapsed="false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</row>
    <row r="759" customFormat="false" ht="15.75" hidden="false" customHeight="false" outlineLevel="0" collapsed="false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</row>
    <row r="760" customFormat="false" ht="15.75" hidden="false" customHeight="false" outlineLevel="0" collapsed="false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</row>
    <row r="761" customFormat="false" ht="15.75" hidden="false" customHeight="false" outlineLevel="0" collapsed="false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</row>
    <row r="762" customFormat="false" ht="15.75" hidden="false" customHeight="false" outlineLevel="0" collapsed="false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</row>
    <row r="763" customFormat="false" ht="15.75" hidden="false" customHeight="false" outlineLevel="0" collapsed="false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</row>
    <row r="764" customFormat="false" ht="15.75" hidden="false" customHeight="false" outlineLevel="0" collapsed="false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</row>
    <row r="765" customFormat="false" ht="15.75" hidden="false" customHeight="false" outlineLevel="0" collapsed="false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</row>
    <row r="766" customFormat="false" ht="15.75" hidden="false" customHeight="false" outlineLevel="0" collapsed="false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</row>
    <row r="767" customFormat="false" ht="15.75" hidden="false" customHeight="false" outlineLevel="0" collapsed="false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</row>
    <row r="768" customFormat="false" ht="15.75" hidden="false" customHeight="false" outlineLevel="0" collapsed="false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</row>
    <row r="769" customFormat="false" ht="15.75" hidden="false" customHeight="false" outlineLevel="0" collapsed="false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</row>
    <row r="770" customFormat="false" ht="15.75" hidden="false" customHeight="false" outlineLevel="0" collapsed="false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</row>
    <row r="771" customFormat="false" ht="15.75" hidden="false" customHeight="false" outlineLevel="0" collapsed="false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</row>
    <row r="772" customFormat="false" ht="15.75" hidden="false" customHeight="false" outlineLevel="0" collapsed="false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</row>
    <row r="773" customFormat="false" ht="15.75" hidden="false" customHeight="false" outlineLevel="0" collapsed="false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</row>
    <row r="774" customFormat="false" ht="15.75" hidden="false" customHeight="false" outlineLevel="0" collapsed="false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</row>
    <row r="775" customFormat="false" ht="15.75" hidden="false" customHeight="false" outlineLevel="0" collapsed="false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</row>
    <row r="776" customFormat="false" ht="15.75" hidden="false" customHeight="false" outlineLevel="0" collapsed="false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</row>
    <row r="777" customFormat="false" ht="15.75" hidden="false" customHeight="false" outlineLevel="0" collapsed="false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</row>
    <row r="778" customFormat="false" ht="15.75" hidden="false" customHeight="false" outlineLevel="0" collapsed="false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</row>
    <row r="779" customFormat="false" ht="15.75" hidden="false" customHeight="false" outlineLevel="0" collapsed="false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</row>
    <row r="780" customFormat="false" ht="15.75" hidden="false" customHeight="false" outlineLevel="0" collapsed="false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</row>
    <row r="781" customFormat="false" ht="15.75" hidden="false" customHeight="false" outlineLevel="0" collapsed="false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</row>
    <row r="782" customFormat="false" ht="15.75" hidden="false" customHeight="false" outlineLevel="0" collapsed="false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</row>
    <row r="783" customFormat="false" ht="15.75" hidden="false" customHeight="false" outlineLevel="0" collapsed="false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</row>
    <row r="784" customFormat="false" ht="15.75" hidden="false" customHeight="false" outlineLevel="0" collapsed="false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</row>
    <row r="785" customFormat="false" ht="15.75" hidden="false" customHeight="false" outlineLevel="0" collapsed="false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</row>
    <row r="786" customFormat="false" ht="15.75" hidden="false" customHeight="false" outlineLevel="0" collapsed="false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</row>
    <row r="787" customFormat="false" ht="15.75" hidden="false" customHeight="false" outlineLevel="0" collapsed="false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</row>
    <row r="788" customFormat="false" ht="15.75" hidden="false" customHeight="false" outlineLevel="0" collapsed="false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</row>
    <row r="789" customFormat="false" ht="15.75" hidden="false" customHeight="false" outlineLevel="0" collapsed="false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</row>
    <row r="790" customFormat="false" ht="15.75" hidden="false" customHeight="false" outlineLevel="0" collapsed="false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</row>
    <row r="791" customFormat="false" ht="15.75" hidden="false" customHeight="false" outlineLevel="0" collapsed="false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</row>
    <row r="792" customFormat="false" ht="15.75" hidden="false" customHeight="false" outlineLevel="0" collapsed="false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</row>
    <row r="793" customFormat="false" ht="15.75" hidden="false" customHeight="false" outlineLevel="0" collapsed="false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</row>
    <row r="794" customFormat="false" ht="15.75" hidden="false" customHeight="false" outlineLevel="0" collapsed="false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</row>
    <row r="795" customFormat="false" ht="15.75" hidden="false" customHeight="false" outlineLevel="0" collapsed="false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</row>
    <row r="796" customFormat="false" ht="15.75" hidden="false" customHeight="false" outlineLevel="0" collapsed="false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</row>
    <row r="797" customFormat="false" ht="15.75" hidden="false" customHeight="false" outlineLevel="0" collapsed="false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</row>
    <row r="798" customFormat="false" ht="15.75" hidden="false" customHeight="false" outlineLevel="0" collapsed="false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</row>
    <row r="799" customFormat="false" ht="15.75" hidden="false" customHeight="false" outlineLevel="0" collapsed="false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</row>
    <row r="800" customFormat="false" ht="15.75" hidden="false" customHeight="false" outlineLevel="0" collapsed="false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</row>
    <row r="801" customFormat="false" ht="15.75" hidden="false" customHeight="false" outlineLevel="0" collapsed="false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</row>
    <row r="802" customFormat="false" ht="15.75" hidden="false" customHeight="false" outlineLevel="0" collapsed="false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</row>
    <row r="803" customFormat="false" ht="15.75" hidden="false" customHeight="false" outlineLevel="0" collapsed="false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</row>
    <row r="804" customFormat="false" ht="15.75" hidden="false" customHeight="false" outlineLevel="0" collapsed="false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</row>
    <row r="805" customFormat="false" ht="15.75" hidden="false" customHeight="false" outlineLevel="0" collapsed="false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</row>
    <row r="806" customFormat="false" ht="15.75" hidden="false" customHeight="false" outlineLevel="0" collapsed="false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</row>
    <row r="807" customFormat="false" ht="15.75" hidden="false" customHeight="false" outlineLevel="0" collapsed="false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</row>
    <row r="808" customFormat="false" ht="15.75" hidden="false" customHeight="false" outlineLevel="0" collapsed="false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</row>
    <row r="809" customFormat="false" ht="15.75" hidden="false" customHeight="false" outlineLevel="0" collapsed="false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</row>
    <row r="810" customFormat="false" ht="15.75" hidden="false" customHeight="false" outlineLevel="0" collapsed="false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</row>
    <row r="811" customFormat="false" ht="15.75" hidden="false" customHeight="false" outlineLevel="0" collapsed="false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</row>
    <row r="812" customFormat="false" ht="15.75" hidden="false" customHeight="false" outlineLevel="0" collapsed="false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</row>
    <row r="813" customFormat="false" ht="15.75" hidden="false" customHeight="false" outlineLevel="0" collapsed="false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</row>
    <row r="814" customFormat="false" ht="15.75" hidden="false" customHeight="false" outlineLevel="0" collapsed="false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</row>
    <row r="815" customFormat="false" ht="15.75" hidden="false" customHeight="false" outlineLevel="0" collapsed="false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</row>
    <row r="816" customFormat="false" ht="15.75" hidden="false" customHeight="false" outlineLevel="0" collapsed="false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</row>
    <row r="817" customFormat="false" ht="15.75" hidden="false" customHeight="false" outlineLevel="0" collapsed="false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</row>
    <row r="818" customFormat="false" ht="15.75" hidden="false" customHeight="false" outlineLevel="0" collapsed="false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</row>
    <row r="819" customFormat="false" ht="15.75" hidden="false" customHeight="false" outlineLevel="0" collapsed="false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</row>
    <row r="820" customFormat="false" ht="15.75" hidden="false" customHeight="false" outlineLevel="0" collapsed="false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</row>
    <row r="821" customFormat="false" ht="15.75" hidden="false" customHeight="false" outlineLevel="0" collapsed="false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</row>
    <row r="822" customFormat="false" ht="15.75" hidden="false" customHeight="false" outlineLevel="0" collapsed="false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</row>
    <row r="823" customFormat="false" ht="15.75" hidden="false" customHeight="false" outlineLevel="0" collapsed="false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</row>
    <row r="824" customFormat="false" ht="15.75" hidden="false" customHeight="false" outlineLevel="0" collapsed="false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</row>
    <row r="825" customFormat="false" ht="15.75" hidden="false" customHeight="false" outlineLevel="0" collapsed="false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</row>
    <row r="826" customFormat="false" ht="15.75" hidden="false" customHeight="false" outlineLevel="0" collapsed="false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</row>
    <row r="827" customFormat="false" ht="15.75" hidden="false" customHeight="false" outlineLevel="0" collapsed="false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</row>
    <row r="828" customFormat="false" ht="15.75" hidden="false" customHeight="false" outlineLevel="0" collapsed="false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</row>
    <row r="829" customFormat="false" ht="15.75" hidden="false" customHeight="false" outlineLevel="0" collapsed="false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</row>
    <row r="830" customFormat="false" ht="15.75" hidden="false" customHeight="false" outlineLevel="0" collapsed="false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</row>
    <row r="831" customFormat="false" ht="15.75" hidden="false" customHeight="false" outlineLevel="0" collapsed="false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</row>
    <row r="832" customFormat="false" ht="15.75" hidden="false" customHeight="false" outlineLevel="0" collapsed="false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</row>
    <row r="833" customFormat="false" ht="15.75" hidden="false" customHeight="false" outlineLevel="0" collapsed="false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</row>
    <row r="834" customFormat="false" ht="15.75" hidden="false" customHeight="false" outlineLevel="0" collapsed="false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</row>
    <row r="835" customFormat="false" ht="15.75" hidden="false" customHeight="false" outlineLevel="0" collapsed="false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</row>
    <row r="836" customFormat="false" ht="15.75" hidden="false" customHeight="false" outlineLevel="0" collapsed="false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</row>
    <row r="837" customFormat="false" ht="15.75" hidden="false" customHeight="false" outlineLevel="0" collapsed="false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</row>
    <row r="838" customFormat="false" ht="15.75" hidden="false" customHeight="false" outlineLevel="0" collapsed="false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</row>
    <row r="839" customFormat="false" ht="15.75" hidden="false" customHeight="false" outlineLevel="0" collapsed="false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</row>
    <row r="840" customFormat="false" ht="15.75" hidden="false" customHeight="false" outlineLevel="0" collapsed="false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</row>
    <row r="841" customFormat="false" ht="15.75" hidden="false" customHeight="false" outlineLevel="0" collapsed="false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</row>
    <row r="842" customFormat="false" ht="15.75" hidden="false" customHeight="false" outlineLevel="0" collapsed="false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</row>
    <row r="843" customFormat="false" ht="15.75" hidden="false" customHeight="false" outlineLevel="0" collapsed="false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</row>
    <row r="844" customFormat="false" ht="15.75" hidden="false" customHeight="false" outlineLevel="0" collapsed="false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</row>
    <row r="845" customFormat="false" ht="15.75" hidden="false" customHeight="false" outlineLevel="0" collapsed="false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</row>
    <row r="846" customFormat="false" ht="15.75" hidden="false" customHeight="false" outlineLevel="0" collapsed="false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</row>
    <row r="847" customFormat="false" ht="15.75" hidden="false" customHeight="false" outlineLevel="0" collapsed="false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</row>
    <row r="848" customFormat="false" ht="15.75" hidden="false" customHeight="false" outlineLevel="0" collapsed="false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</row>
    <row r="849" customFormat="false" ht="15.75" hidden="false" customHeight="false" outlineLevel="0" collapsed="false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</row>
    <row r="850" customFormat="false" ht="15.75" hidden="false" customHeight="false" outlineLevel="0" collapsed="false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</row>
    <row r="851" customFormat="false" ht="15.75" hidden="false" customHeight="false" outlineLevel="0" collapsed="false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</row>
    <row r="852" customFormat="false" ht="15.75" hidden="false" customHeight="false" outlineLevel="0" collapsed="false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</row>
    <row r="853" customFormat="false" ht="15.75" hidden="false" customHeight="false" outlineLevel="0" collapsed="false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</row>
    <row r="854" customFormat="false" ht="15.75" hidden="false" customHeight="false" outlineLevel="0" collapsed="false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</row>
    <row r="855" customFormat="false" ht="15.75" hidden="false" customHeight="false" outlineLevel="0" collapsed="false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</row>
    <row r="856" customFormat="false" ht="15.75" hidden="false" customHeight="false" outlineLevel="0" collapsed="false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</row>
    <row r="857" customFormat="false" ht="15.75" hidden="false" customHeight="false" outlineLevel="0" collapsed="false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</row>
    <row r="858" customFormat="false" ht="15.75" hidden="false" customHeight="false" outlineLevel="0" collapsed="false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</row>
    <row r="859" customFormat="false" ht="15.75" hidden="false" customHeight="false" outlineLevel="0" collapsed="false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</row>
    <row r="860" customFormat="false" ht="15.75" hidden="false" customHeight="false" outlineLevel="0" collapsed="false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</row>
    <row r="861" customFormat="false" ht="15.75" hidden="false" customHeight="false" outlineLevel="0" collapsed="false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</row>
    <row r="862" customFormat="false" ht="15.75" hidden="false" customHeight="false" outlineLevel="0" collapsed="false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</row>
    <row r="863" customFormat="false" ht="15.75" hidden="false" customHeight="false" outlineLevel="0" collapsed="false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</row>
    <row r="864" customFormat="false" ht="15.75" hidden="false" customHeight="false" outlineLevel="0" collapsed="false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</row>
    <row r="865" customFormat="false" ht="15.75" hidden="false" customHeight="false" outlineLevel="0" collapsed="false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</row>
    <row r="866" customFormat="false" ht="15.75" hidden="false" customHeight="false" outlineLevel="0" collapsed="false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</row>
    <row r="867" customFormat="false" ht="15.75" hidden="false" customHeight="false" outlineLevel="0" collapsed="false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</row>
    <row r="868" customFormat="false" ht="15.75" hidden="false" customHeight="false" outlineLevel="0" collapsed="false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</row>
    <row r="869" customFormat="false" ht="15.75" hidden="false" customHeight="false" outlineLevel="0" collapsed="false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</row>
    <row r="870" customFormat="false" ht="15.75" hidden="false" customHeight="false" outlineLevel="0" collapsed="false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</row>
    <row r="871" customFormat="false" ht="15.75" hidden="false" customHeight="false" outlineLevel="0" collapsed="false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</row>
    <row r="872" customFormat="false" ht="15.75" hidden="false" customHeight="false" outlineLevel="0" collapsed="false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</row>
    <row r="873" customFormat="false" ht="15.75" hidden="false" customHeight="false" outlineLevel="0" collapsed="false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</row>
    <row r="874" customFormat="false" ht="15.75" hidden="false" customHeight="false" outlineLevel="0" collapsed="false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</row>
    <row r="875" customFormat="false" ht="15.75" hidden="false" customHeight="false" outlineLevel="0" collapsed="false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</row>
    <row r="876" customFormat="false" ht="15.75" hidden="false" customHeight="false" outlineLevel="0" collapsed="false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</row>
    <row r="877" customFormat="false" ht="15.75" hidden="false" customHeight="false" outlineLevel="0" collapsed="false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</row>
    <row r="878" customFormat="false" ht="15.75" hidden="false" customHeight="false" outlineLevel="0" collapsed="false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</row>
    <row r="879" customFormat="false" ht="15.75" hidden="false" customHeight="false" outlineLevel="0" collapsed="false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</row>
    <row r="880" customFormat="false" ht="15.75" hidden="false" customHeight="false" outlineLevel="0" collapsed="false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</row>
    <row r="881" customFormat="false" ht="15.75" hidden="false" customHeight="false" outlineLevel="0" collapsed="false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</row>
    <row r="882" customFormat="false" ht="15.75" hidden="false" customHeight="false" outlineLevel="0" collapsed="false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</row>
    <row r="883" customFormat="false" ht="15.75" hidden="false" customHeight="false" outlineLevel="0" collapsed="false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</row>
    <row r="884" customFormat="false" ht="15.75" hidden="false" customHeight="false" outlineLevel="0" collapsed="false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</row>
    <row r="885" customFormat="false" ht="15.75" hidden="false" customHeight="false" outlineLevel="0" collapsed="false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</row>
    <row r="886" customFormat="false" ht="15.75" hidden="false" customHeight="false" outlineLevel="0" collapsed="false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</row>
    <row r="887" customFormat="false" ht="15.75" hidden="false" customHeight="false" outlineLevel="0" collapsed="false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</row>
    <row r="888" customFormat="false" ht="15.75" hidden="false" customHeight="false" outlineLevel="0" collapsed="false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</row>
    <row r="889" customFormat="false" ht="15.75" hidden="false" customHeight="false" outlineLevel="0" collapsed="false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</row>
    <row r="890" customFormat="false" ht="15.75" hidden="false" customHeight="false" outlineLevel="0" collapsed="false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</row>
    <row r="891" customFormat="false" ht="15.75" hidden="false" customHeight="false" outlineLevel="0" collapsed="false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</row>
    <row r="892" customFormat="false" ht="15.75" hidden="false" customHeight="false" outlineLevel="0" collapsed="false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</row>
    <row r="893" customFormat="false" ht="15.75" hidden="false" customHeight="false" outlineLevel="0" collapsed="false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</row>
    <row r="894" customFormat="false" ht="15.75" hidden="false" customHeight="false" outlineLevel="0" collapsed="false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</row>
    <row r="895" customFormat="false" ht="15.75" hidden="false" customHeight="false" outlineLevel="0" collapsed="false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</row>
    <row r="896" customFormat="false" ht="15.75" hidden="false" customHeight="false" outlineLevel="0" collapsed="false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</row>
    <row r="897" customFormat="false" ht="15.75" hidden="false" customHeight="false" outlineLevel="0" collapsed="false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</row>
    <row r="898" customFormat="false" ht="15.75" hidden="false" customHeight="false" outlineLevel="0" collapsed="false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</row>
    <row r="899" customFormat="false" ht="15.75" hidden="false" customHeight="false" outlineLevel="0" collapsed="false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</row>
    <row r="900" customFormat="false" ht="15.75" hidden="false" customHeight="false" outlineLevel="0" collapsed="false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</row>
    <row r="901" customFormat="false" ht="15.75" hidden="false" customHeight="false" outlineLevel="0" collapsed="false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</row>
    <row r="902" customFormat="false" ht="15.75" hidden="false" customHeight="false" outlineLevel="0" collapsed="false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</row>
    <row r="903" customFormat="false" ht="15.75" hidden="false" customHeight="false" outlineLevel="0" collapsed="false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</row>
    <row r="904" customFormat="false" ht="15.75" hidden="false" customHeight="false" outlineLevel="0" collapsed="false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</row>
    <row r="905" customFormat="false" ht="15.75" hidden="false" customHeight="false" outlineLevel="0" collapsed="false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</row>
    <row r="906" customFormat="false" ht="15.75" hidden="false" customHeight="false" outlineLevel="0" collapsed="false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</row>
    <row r="907" customFormat="false" ht="15.75" hidden="false" customHeight="false" outlineLevel="0" collapsed="false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</row>
    <row r="908" customFormat="false" ht="15.75" hidden="false" customHeight="false" outlineLevel="0" collapsed="false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</row>
    <row r="909" customFormat="false" ht="15.75" hidden="false" customHeight="false" outlineLevel="0" collapsed="false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</row>
    <row r="910" customFormat="false" ht="15.75" hidden="false" customHeight="false" outlineLevel="0" collapsed="false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</row>
    <row r="911" customFormat="false" ht="15.75" hidden="false" customHeight="false" outlineLevel="0" collapsed="false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</row>
    <row r="912" customFormat="false" ht="15.75" hidden="false" customHeight="false" outlineLevel="0" collapsed="false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</row>
    <row r="913" customFormat="false" ht="15.75" hidden="false" customHeight="false" outlineLevel="0" collapsed="false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</row>
    <row r="914" customFormat="false" ht="15.75" hidden="false" customHeight="false" outlineLevel="0" collapsed="false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</row>
    <row r="915" customFormat="false" ht="15.75" hidden="false" customHeight="false" outlineLevel="0" collapsed="false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</row>
    <row r="916" customFormat="false" ht="15.75" hidden="false" customHeight="false" outlineLevel="0" collapsed="false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</row>
    <row r="917" customFormat="false" ht="15.75" hidden="false" customHeight="false" outlineLevel="0" collapsed="false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</row>
    <row r="918" customFormat="false" ht="15.75" hidden="false" customHeight="false" outlineLevel="0" collapsed="false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</row>
    <row r="919" customFormat="false" ht="15.75" hidden="false" customHeight="false" outlineLevel="0" collapsed="false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</row>
    <row r="920" customFormat="false" ht="15.75" hidden="false" customHeight="false" outlineLevel="0" collapsed="false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</row>
    <row r="921" customFormat="false" ht="15.75" hidden="false" customHeight="false" outlineLevel="0" collapsed="false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</row>
    <row r="922" customFormat="false" ht="15.75" hidden="false" customHeight="false" outlineLevel="0" collapsed="false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</row>
    <row r="923" customFormat="false" ht="15.75" hidden="false" customHeight="false" outlineLevel="0" collapsed="false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</row>
    <row r="924" customFormat="false" ht="15.75" hidden="false" customHeight="false" outlineLevel="0" collapsed="false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</row>
    <row r="925" customFormat="false" ht="15.75" hidden="false" customHeight="false" outlineLevel="0" collapsed="false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</row>
    <row r="926" customFormat="false" ht="15.75" hidden="false" customHeight="false" outlineLevel="0" collapsed="false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</row>
    <row r="927" customFormat="false" ht="15.75" hidden="false" customHeight="false" outlineLevel="0" collapsed="false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</row>
    <row r="928" customFormat="false" ht="15.75" hidden="false" customHeight="false" outlineLevel="0" collapsed="false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</row>
    <row r="929" customFormat="false" ht="15.75" hidden="false" customHeight="false" outlineLevel="0" collapsed="false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</row>
    <row r="930" customFormat="false" ht="15.75" hidden="false" customHeight="false" outlineLevel="0" collapsed="false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</row>
    <row r="931" customFormat="false" ht="15.75" hidden="false" customHeight="false" outlineLevel="0" collapsed="false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</row>
    <row r="932" customFormat="false" ht="15.75" hidden="false" customHeight="false" outlineLevel="0" collapsed="false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</row>
    <row r="933" customFormat="false" ht="15.75" hidden="false" customHeight="false" outlineLevel="0" collapsed="false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</row>
    <row r="934" customFormat="false" ht="15.75" hidden="false" customHeight="false" outlineLevel="0" collapsed="false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</row>
    <row r="935" customFormat="false" ht="15.75" hidden="false" customHeight="false" outlineLevel="0" collapsed="false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</row>
    <row r="936" customFormat="false" ht="15.75" hidden="false" customHeight="false" outlineLevel="0" collapsed="false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</row>
    <row r="937" customFormat="false" ht="15.75" hidden="false" customHeight="false" outlineLevel="0" collapsed="false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</row>
    <row r="938" customFormat="false" ht="15.75" hidden="false" customHeight="false" outlineLevel="0" collapsed="false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</row>
    <row r="939" customFormat="false" ht="15.75" hidden="false" customHeight="false" outlineLevel="0" collapsed="false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</row>
    <row r="940" customFormat="false" ht="15.75" hidden="false" customHeight="false" outlineLevel="0" collapsed="false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</row>
    <row r="941" customFormat="false" ht="15.75" hidden="false" customHeight="false" outlineLevel="0" collapsed="false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</row>
    <row r="942" customFormat="false" ht="15.75" hidden="false" customHeight="false" outlineLevel="0" collapsed="false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</row>
    <row r="943" customFormat="false" ht="15.75" hidden="false" customHeight="false" outlineLevel="0" collapsed="false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</row>
    <row r="944" customFormat="false" ht="15.75" hidden="false" customHeight="false" outlineLevel="0" collapsed="false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</row>
    <row r="945" customFormat="false" ht="15.75" hidden="false" customHeight="false" outlineLevel="0" collapsed="false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</row>
    <row r="946" customFormat="false" ht="15.75" hidden="false" customHeight="false" outlineLevel="0" collapsed="false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</row>
    <row r="947" customFormat="false" ht="15.75" hidden="false" customHeight="false" outlineLevel="0" collapsed="false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</row>
    <row r="948" customFormat="false" ht="15.75" hidden="false" customHeight="false" outlineLevel="0" collapsed="false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</row>
    <row r="949" customFormat="false" ht="15.75" hidden="false" customHeight="false" outlineLevel="0" collapsed="false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</row>
    <row r="950" customFormat="false" ht="15.75" hidden="false" customHeight="false" outlineLevel="0" collapsed="false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</row>
    <row r="951" customFormat="false" ht="15.75" hidden="false" customHeight="false" outlineLevel="0" collapsed="false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</row>
    <row r="952" customFormat="false" ht="15.75" hidden="false" customHeight="false" outlineLevel="0" collapsed="false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</row>
    <row r="953" customFormat="false" ht="15.75" hidden="false" customHeight="false" outlineLevel="0" collapsed="false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</row>
    <row r="954" customFormat="false" ht="15.75" hidden="false" customHeight="false" outlineLevel="0" collapsed="false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</row>
    <row r="955" customFormat="false" ht="15.75" hidden="false" customHeight="false" outlineLevel="0" collapsed="false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</row>
    <row r="956" customFormat="false" ht="15.75" hidden="false" customHeight="false" outlineLevel="0" collapsed="false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</row>
    <row r="957" customFormat="false" ht="15.75" hidden="false" customHeight="false" outlineLevel="0" collapsed="false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</row>
    <row r="958" customFormat="false" ht="15.75" hidden="false" customHeight="false" outlineLevel="0" collapsed="false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</row>
    <row r="959" customFormat="false" ht="15.75" hidden="false" customHeight="false" outlineLevel="0" collapsed="false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</row>
    <row r="960" customFormat="false" ht="15.75" hidden="false" customHeight="false" outlineLevel="0" collapsed="false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</row>
    <row r="961" customFormat="false" ht="15.75" hidden="false" customHeight="false" outlineLevel="0" collapsed="false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</row>
    <row r="962" customFormat="false" ht="15.75" hidden="false" customHeight="false" outlineLevel="0" collapsed="false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</row>
    <row r="963" customFormat="false" ht="15.75" hidden="false" customHeight="false" outlineLevel="0" collapsed="false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</row>
    <row r="964" customFormat="false" ht="15.75" hidden="false" customHeight="false" outlineLevel="0" collapsed="false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</row>
    <row r="965" customFormat="false" ht="15.75" hidden="false" customHeight="false" outlineLevel="0" collapsed="false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</row>
    <row r="966" customFormat="false" ht="15.75" hidden="false" customHeight="false" outlineLevel="0" collapsed="false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</row>
    <row r="967" customFormat="false" ht="15.75" hidden="false" customHeight="false" outlineLevel="0" collapsed="false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</row>
    <row r="968" customFormat="false" ht="15.75" hidden="false" customHeight="false" outlineLevel="0" collapsed="false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</row>
    <row r="969" customFormat="false" ht="15.75" hidden="false" customHeight="false" outlineLevel="0" collapsed="false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</row>
    <row r="970" customFormat="false" ht="15.75" hidden="false" customHeight="false" outlineLevel="0" collapsed="false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</row>
    <row r="971" customFormat="false" ht="15.75" hidden="false" customHeight="false" outlineLevel="0" collapsed="false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</row>
    <row r="972" customFormat="false" ht="15.75" hidden="false" customHeight="false" outlineLevel="0" collapsed="false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</row>
    <row r="973" customFormat="false" ht="15.75" hidden="false" customHeight="false" outlineLevel="0" collapsed="false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</row>
    <row r="974" customFormat="false" ht="15.75" hidden="false" customHeight="false" outlineLevel="0" collapsed="false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</row>
    <row r="975" customFormat="false" ht="15.75" hidden="false" customHeight="false" outlineLevel="0" collapsed="false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</row>
    <row r="976" customFormat="false" ht="15.75" hidden="false" customHeight="false" outlineLevel="0" collapsed="false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</row>
    <row r="977" customFormat="false" ht="15.75" hidden="false" customHeight="false" outlineLevel="0" collapsed="false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</row>
    <row r="978" customFormat="false" ht="15.75" hidden="false" customHeight="false" outlineLevel="0" collapsed="false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</row>
    <row r="979" customFormat="false" ht="15.75" hidden="false" customHeight="false" outlineLevel="0" collapsed="false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</row>
    <row r="980" customFormat="false" ht="15.75" hidden="false" customHeight="false" outlineLevel="0" collapsed="false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</row>
    <row r="981" customFormat="false" ht="15.75" hidden="false" customHeight="false" outlineLevel="0" collapsed="false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</row>
    <row r="982" customFormat="false" ht="15.75" hidden="false" customHeight="false" outlineLevel="0" collapsed="false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</row>
    <row r="983" customFormat="false" ht="15.75" hidden="false" customHeight="false" outlineLevel="0" collapsed="false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</row>
    <row r="984" customFormat="false" ht="15.75" hidden="false" customHeight="false" outlineLevel="0" collapsed="false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</row>
    <row r="985" customFormat="false" ht="15.75" hidden="false" customHeight="false" outlineLevel="0" collapsed="false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</row>
    <row r="986" customFormat="false" ht="15.75" hidden="false" customHeight="false" outlineLevel="0" collapsed="false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</row>
    <row r="987" customFormat="false" ht="15.75" hidden="false" customHeight="false" outlineLevel="0" collapsed="false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</row>
    <row r="988" customFormat="false" ht="15.75" hidden="false" customHeight="false" outlineLevel="0" collapsed="false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</row>
    <row r="989" customFormat="false" ht="15.75" hidden="false" customHeight="false" outlineLevel="0" collapsed="false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</row>
    <row r="990" customFormat="false" ht="15.75" hidden="false" customHeight="false" outlineLevel="0" collapsed="false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</row>
    <row r="991" customFormat="false" ht="15.75" hidden="false" customHeight="false" outlineLevel="0" collapsed="false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</row>
    <row r="992" customFormat="false" ht="15.75" hidden="false" customHeight="false" outlineLevel="0" collapsed="false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</row>
    <row r="993" customFormat="false" ht="15.75" hidden="false" customHeight="false" outlineLevel="0" collapsed="false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</row>
    <row r="994" customFormat="false" ht="15.75" hidden="false" customHeight="false" outlineLevel="0" collapsed="false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</row>
    <row r="995" customFormat="false" ht="15.75" hidden="false" customHeight="false" outlineLevel="0" collapsed="false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</row>
    <row r="996" customFormat="false" ht="15.75" hidden="false" customHeight="false" outlineLevel="0" collapsed="false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</row>
    <row r="997" customFormat="false" ht="15.75" hidden="false" customHeight="false" outlineLevel="0" collapsed="false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</row>
    <row r="998" customFormat="false" ht="15.75" hidden="false" customHeight="false" outlineLevel="0" collapsed="false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</row>
    <row r="999" customFormat="false" ht="15.75" hidden="false" customHeight="false" outlineLevel="0" collapsed="false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</row>
    <row r="1000" customFormat="false" ht="15.75" hidden="false" customHeight="false" outlineLevel="0" collapsed="false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</row>
  </sheetData>
  <mergeCells count="6">
    <mergeCell ref="A1:I1"/>
    <mergeCell ref="A3:A4"/>
    <mergeCell ref="B3:C3"/>
    <mergeCell ref="D3:E3"/>
    <mergeCell ref="F3:G3"/>
    <mergeCell ref="H3:I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