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ต้นฉบับ" sheetId="1" state="visible" r:id="rId3"/>
    <sheet name="ต.ค.68" sheetId="2" state="visible" r:id="rId4"/>
    <sheet name="พ.ย.68" sheetId="3" state="visible" r:id="rId5"/>
    <sheet name="ธ.ค.68" sheetId="4" state="visible" r:id="rId6"/>
    <sheet name="ม.ค.69" sheetId="5" state="visible" r:id="rId7"/>
    <sheet name="ก.พ.69" sheetId="6" state="visible" r:id="rId8"/>
    <sheet name="มี.ค.69" sheetId="7" state="visible" r:id="rId9"/>
    <sheet name="เม.ย.69" sheetId="8" state="visible" r:id="rId10"/>
    <sheet name="พ.ค.69" sheetId="9" state="visible" r:id="rId11"/>
    <sheet name="มิ.ย.69" sheetId="10" state="visible" r:id="rId12"/>
    <sheet name="ก.ค.69" sheetId="11" state="visible" r:id="rId13"/>
    <sheet name="ส.ค.69" sheetId="12" state="visible" r:id="rId14"/>
    <sheet name="ก.ย.69" sheetId="13" state="visible" r:id="rId15"/>
    <sheet name="สรุปยอด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<sst xmlns="http://schemas.openxmlformats.org/spreadsheetml/2006/main" count="1783" uniqueCount="510">
  <si>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ตุลาคม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</si>
  <si>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t xml:space="preserve">วันที่ชำระ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</si>
  <si>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Safety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</si>
  <si>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(</t>
    </r>
    <r>
      <rPr>
        <b val="true"/>
        <sz val="16"/>
        <color theme="1"/>
        <rFont val="Arial"/>
        <family val="0"/>
        <charset val="1"/>
      </rPr>
      <t xml:space="preserve">ใบเสร็จรับเงิน </t>
    </r>
    <r>
      <rPr>
        <b val="true"/>
        <sz val="16"/>
        <color theme="1"/>
        <rFont val="TH SarabunPSK"/>
        <family val="0"/>
        <charset val="1"/>
      </rPr>
      <t xml:space="preserve">A4)</t>
    </r>
  </si>
  <si>
    <r>
      <rPr>
        <b val="true"/>
        <sz val="16"/>
        <color theme="1"/>
        <rFont val="Arial"/>
        <family val="0"/>
        <charset val="1"/>
      </rPr>
      <t xml:space="preserve">รวมพรบ</t>
    </r>
    <r>
      <rPr>
        <b val="true"/>
        <sz val="16"/>
        <color theme="1"/>
        <rFont val="TH SarabunPSK"/>
        <family val="0"/>
        <charset val="1"/>
      </rPr>
      <t xml:space="preserve">.42  (Safety + Receipt)</t>
    </r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</si>
  <si>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Trade</t>
    </r>
  </si>
  <si>
    <r>
      <rPr>
        <b val="true"/>
        <sz val="16"/>
        <color theme="1"/>
        <rFont val="Arial"/>
        <family val="0"/>
        <charset val="1"/>
      </rPr>
      <t xml:space="preserve">รวมพรบ</t>
    </r>
    <r>
      <rPr>
        <b val="true"/>
        <sz val="16"/>
        <color theme="1"/>
        <rFont val="TH SarabunPSK"/>
        <family val="0"/>
        <charset val="1"/>
      </rPr>
      <t xml:space="preserve">.2543 (Trade)</t>
    </r>
  </si>
  <si>
    <r>
      <rPr>
        <b val="true"/>
        <sz val="16"/>
        <color theme="1"/>
        <rFont val="Arial"/>
        <family val="0"/>
        <charset val="1"/>
      </rPr>
      <t xml:space="preserve">นำรายได้ ส่ง คพ</t>
    </r>
    <r>
      <rPr>
        <b val="true"/>
        <sz val="16"/>
        <color theme="1"/>
        <rFont val="TH SarabunPSK"/>
        <family val="0"/>
        <charset val="1"/>
      </rPr>
      <t xml:space="preserve">.
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.42 + </t>
    </r>
    <r>
      <rPr>
        <b val="true"/>
        <sz val="16"/>
        <color theme="1"/>
        <rFont val="Arial"/>
        <family val="0"/>
        <charset val="1"/>
      </rPr>
      <t xml:space="preserve">พรบ</t>
    </r>
    <r>
      <rPr>
        <b val="true"/>
        <sz val="16"/>
        <color theme="1"/>
        <rFont val="TH SarabunPSK"/>
        <family val="0"/>
        <charset val="1"/>
      </rPr>
      <t xml:space="preserve">.43 </t>
    </r>
  </si>
  <si>
    <t xml:space="preserve">หมายเหตุ</t>
  </si>
  <si>
    <r>
      <rPr>
        <b val="true"/>
        <sz val="16"/>
        <color theme="1"/>
        <rFont val="Arial"/>
        <family val="0"/>
        <charset val="1"/>
      </rPr>
      <t xml:space="preserve">พน</t>
    </r>
    <r>
      <rPr>
        <b val="true"/>
        <sz val="16"/>
        <color theme="1"/>
        <rFont val="TH SarabunPSK"/>
        <family val="0"/>
        <charset val="1"/>
      </rPr>
      <t xml:space="preserve">0401.1/</t>
    </r>
  </si>
  <si>
    <t xml:space="preserve">EDC</t>
  </si>
  <si>
    <t xml:space="preserve">วันที่ส่ง</t>
  </si>
  <si>
    <t xml:space="preserve">จำนวนใบเสร็จ</t>
  </si>
  <si>
    <t xml:space="preserve">จำนวนเงิน</t>
  </si>
  <si>
    <t xml:space="preserve">ยกเลิกใบเสร็จ</t>
  </si>
  <si>
    <t xml:space="preserve">จาก</t>
  </si>
  <si>
    <t xml:space="preserve">ถึง</t>
  </si>
  <si>
    <r>
      <rPr>
        <b val="true"/>
        <sz val="16"/>
        <color theme="1"/>
        <rFont val="Arial"/>
        <family val="0"/>
        <charset val="1"/>
      </rPr>
      <t xml:space="preserve">ยกเลิก</t>
    </r>
    <r>
      <rPr>
        <b val="true"/>
        <sz val="16"/>
        <color theme="1"/>
        <rFont val="TH SarabunPSK"/>
        <family val="0"/>
        <charset val="1"/>
      </rPr>
      <t xml:space="preserve">/</t>
    </r>
    <r>
      <rPr>
        <b val="true"/>
        <sz val="16"/>
        <color theme="1"/>
        <rFont val="Arial"/>
        <family val="0"/>
        <charset val="1"/>
      </rPr>
      <t xml:space="preserve">ใบเสร็จเสีย</t>
    </r>
  </si>
  <si>
    <t xml:space="preserve">รวมจำนวนใบเสร็จ</t>
  </si>
  <si>
    <t xml:space="preserve">รวมจำนวนเงิน</t>
  </si>
  <si>
    <t xml:space="preserve">จำนวนใบเสร็จ </t>
  </si>
  <si>
    <t xml:space="preserve">เลขที่ใบเสร็จ</t>
  </si>
  <si>
    <t xml:space="preserve">-</t>
  </si>
  <si>
    <t xml:space="preserve">รวม</t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</si>
  <si>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</si>
  <si>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</si>
  <si>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2569/00001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</si>
  <si>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</si>
  <si>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</si>
  <si>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</si>
  <si>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2569/00004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</si>
  <si>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</si>
  <si>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</si>
  <si>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2569/00005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</si>
  <si>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</si>
  <si>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</si>
  <si>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</si>
  <si>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69/00001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</si>
  <si>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</si>
  <si>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2569/00007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</si>
  <si>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</si>
  <si>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</si>
  <si>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</si>
  <si>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69/00002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</si>
  <si>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</si>
  <si>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</si>
  <si>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2569/00008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</si>
  <si>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2569/00011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</si>
  <si>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</si>
  <si>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2569/00012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</si>
  <si>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</si>
  <si>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</si>
  <si>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</si>
  <si>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2569/00013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</si>
  <si>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</si>
  <si>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2569/00014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</si>
  <si>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</si>
  <si>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ต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</si>
  <si>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</si>
  <si>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</si>
  <si>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</si>
  <si>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69/00004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</si>
  <si>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พฤศจิกายน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</si>
  <si>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</si>
  <si>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</si>
  <si>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69/00005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</si>
  <si>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</si>
  <si>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</si>
  <si>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</si>
  <si>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2569/00018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</si>
  <si>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</si>
  <si>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2569/00019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</si>
  <si>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69/00006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</si>
  <si>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</si>
  <si>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</si>
  <si>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3"/>
        <color theme="1"/>
        <rFont val="Arial"/>
        <family val="0"/>
        <charset val="1"/>
      </rPr>
      <t xml:space="preserve">ศ</t>
    </r>
    <r>
      <rPr>
        <sz val="13"/>
        <color theme="1"/>
        <rFont val="TH SarabunPSK"/>
        <family val="0"/>
        <charset val="1"/>
      </rPr>
      <t xml:space="preserve">2569/00020,00022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</si>
  <si>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</si>
  <si>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2569/00021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</si>
  <si>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</si>
  <si>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</si>
  <si>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</si>
  <si>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</si>
  <si>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</si>
  <si>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2569/00026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</si>
  <si>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</si>
  <si>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</si>
  <si>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2569/00028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</si>
  <si>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</si>
  <si>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</si>
  <si>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</si>
  <si>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2569/00029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</si>
  <si>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2569/00030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</si>
  <si>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</si>
  <si>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</si>
  <si>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69/00007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</si>
  <si>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</si>
  <si>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2569/00032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</si>
  <si>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</si>
  <si>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2569/00033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</si>
  <si>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</si>
  <si>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68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</si>
  <si>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ธันวาคม </t>
    </r>
    <r>
      <rPr>
        <b val="true"/>
        <sz val="18"/>
        <color theme="1"/>
        <rFont val="TH SarabunPSK"/>
        <family val="0"/>
        <charset val="1"/>
      </rPr>
      <t xml:space="preserve">2568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</si>
  <si>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</si>
  <si>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</si>
  <si>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</si>
  <si>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2569/00035</t>
    </r>
  </si>
  <si>
    <r>
      <rPr>
        <sz val="13"/>
        <color theme="1"/>
        <rFont val="Arial"/>
        <family val="0"/>
        <charset val="1"/>
      </rPr>
      <t xml:space="preserve">ศ</t>
    </r>
    <r>
      <rPr>
        <sz val="13"/>
        <color theme="1"/>
        <rFont val="TH SarabunPSK"/>
        <family val="0"/>
        <charset val="1"/>
      </rPr>
      <t xml:space="preserve">69/00008-00009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</si>
  <si>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</si>
  <si>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69/00010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</si>
  <si>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69/00014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</si>
  <si>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</si>
  <si>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</si>
  <si>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69/00015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</si>
  <si>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</si>
  <si>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69/00016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</si>
  <si>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</si>
  <si>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69/00017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</si>
  <si>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</si>
  <si>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69/00018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</si>
  <si>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69/00023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</si>
  <si>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</si>
  <si>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</si>
  <si>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</si>
  <si>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69/00024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</si>
  <si>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69/00025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</si>
  <si>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</si>
  <si>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69/00026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</si>
  <si>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69/00028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</si>
  <si>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</si>
  <si>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2569/00039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</si>
  <si>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</si>
  <si>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69/00029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</si>
  <si>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69/00033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</si>
  <si>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</si>
  <si>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69/00034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</si>
  <si>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</si>
  <si>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2569/00040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</si>
  <si>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69/00035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</si>
  <si>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69/00037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</si>
  <si>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</si>
  <si>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2569/00041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</si>
  <si>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</si>
  <si>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69/00038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</si>
  <si>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69/00041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</si>
  <si>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</si>
  <si>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2569/00042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</si>
  <si>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69/00042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</si>
  <si>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</si>
  <si>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69/00043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</si>
  <si>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</si>
  <si>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2569/00043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</si>
  <si>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2569/00050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</si>
  <si>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</si>
  <si>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2569/00051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</si>
  <si>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</si>
  <si>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2569/00062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</si>
  <si>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ธ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68</t>
    </r>
  </si>
  <si>
    <t xml:space="preserve">29/12/68</t>
  </si>
  <si>
    <t xml:space="preserve">ยกเลิกนำเข้าผิดช่องทาง </t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</si>
  <si>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มกราคม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</si>
  <si>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</si>
  <si>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</si>
  <si>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69/00044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</si>
  <si>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</si>
  <si>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</si>
  <si>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69/00047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</si>
  <si>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</si>
  <si>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2569/00063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</si>
  <si>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</si>
  <si>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69/00048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</si>
  <si>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69/00059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</si>
  <si>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</si>
  <si>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69/00060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</si>
  <si>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69/00061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</si>
  <si>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</si>
  <si>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</si>
  <si>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69/0062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</si>
  <si>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69/00066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</si>
  <si>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</si>
  <si>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</si>
  <si>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69/00067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</si>
  <si>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69/00068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</si>
  <si>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</si>
  <si>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</si>
  <si>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</si>
  <si>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</si>
  <si>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69/00070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</si>
  <si>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</si>
  <si>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</si>
  <si>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69/00071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</si>
  <si>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69/00077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</si>
  <si>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</si>
  <si>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69/00078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</si>
  <si>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69/00338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</si>
  <si>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</si>
  <si>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</si>
  <si>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</si>
  <si>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69/00339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</si>
  <si>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69/00536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</si>
  <si>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</si>
  <si>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</si>
  <si>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69/00537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</si>
  <si>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69/00930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</si>
  <si>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</si>
  <si>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</si>
  <si>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69/00931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</si>
  <si>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69/01298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</si>
  <si>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</si>
  <si>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</si>
  <si>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69/01299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</si>
  <si>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69/01703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</si>
  <si>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</si>
  <si>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69/01704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</si>
  <si>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69/01706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</si>
  <si>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</si>
  <si>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69/01707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</si>
  <si>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69/01714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</si>
  <si>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</si>
  <si>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</si>
  <si>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69/01715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</si>
  <si>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69/01716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</si>
  <si>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</si>
  <si>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69/01717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</si>
  <si>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</si>
  <si>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</si>
  <si>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69/01718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</si>
  <si>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69/01732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</si>
  <si>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กุมภาพันธ์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</si>
  <si>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</si>
  <si>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69/01733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</si>
  <si>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69/01735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</si>
  <si>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</si>
  <si>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69/01736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</si>
  <si>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69/01739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</si>
  <si>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</si>
  <si>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69/01740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</si>
  <si>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69/01741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</si>
  <si>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</si>
  <si>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69/01742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</si>
  <si>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69/01765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</si>
  <si>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</si>
  <si>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</si>
  <si>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69/01766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</si>
  <si>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69/01782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</si>
  <si>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</si>
  <si>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69/01783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</si>
  <si>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</si>
  <si>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</si>
  <si>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69/01784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</si>
  <si>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69/01790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</si>
  <si>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</si>
  <si>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2569/00078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</si>
  <si>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</si>
  <si>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69/01791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</si>
  <si>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69/01792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</si>
  <si>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 </t>
    </r>
    <r>
      <rPr>
        <sz val="16"/>
        <color theme="1"/>
        <rFont val="TH SarabunPSK"/>
        <family val="0"/>
        <charset val="1"/>
      </rPr>
      <t xml:space="preserve">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</si>
  <si>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</si>
  <si>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69/01793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</si>
  <si>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69/01795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</si>
  <si>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</si>
  <si>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69/01796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</si>
  <si>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69/01801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</si>
  <si>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</si>
  <si>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</si>
  <si>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</si>
  <si>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69/01805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</si>
  <si>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</si>
  <si>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69/01806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</si>
  <si>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</si>
  <si>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</si>
  <si>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</si>
  <si>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</si>
  <si>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69/01808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</si>
  <si>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</si>
  <si>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</si>
  <si>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69/01809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</si>
  <si>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69/01812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</si>
  <si>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</si>
  <si>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69/01813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</si>
  <si>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69/01912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</si>
  <si>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</si>
  <si>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69/01917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</si>
  <si>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69/02147</t>
    </r>
  </si>
  <si>
    <r>
      <rPr>
        <sz val="13"/>
        <color theme="1"/>
        <rFont val="Arial"/>
        <family val="0"/>
        <charset val="1"/>
      </rPr>
      <t xml:space="preserve">ศ</t>
    </r>
    <r>
      <rPr>
        <sz val="13"/>
        <color theme="1"/>
        <rFont val="TH SarabunPSK"/>
        <family val="0"/>
        <charset val="1"/>
      </rPr>
      <t xml:space="preserve">69/01913-01916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</si>
  <si>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</si>
  <si>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</si>
  <si>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69/02148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</si>
  <si>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69/02214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</si>
  <si>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</si>
  <si>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69/02215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</si>
  <si>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69/02461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</si>
  <si>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</si>
  <si>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69/02462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</si>
  <si>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69/02466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</si>
  <si>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</si>
  <si>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2569/00086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</si>
  <si>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</si>
  <si>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69/02467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</si>
  <si>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</si>
  <si>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</si>
  <si>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มีนาคม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</si>
  <si>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</si>
  <si>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</si>
  <si>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2569/00088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</si>
  <si>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69/02470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</si>
  <si>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69/02471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</si>
  <si>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</si>
  <si>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</si>
  <si>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2569/00089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</si>
  <si>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</si>
  <si>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</si>
  <si>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2569/00090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</si>
  <si>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</si>
  <si>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</si>
  <si>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</si>
  <si>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</si>
  <si>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</si>
  <si>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</si>
  <si>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</si>
  <si>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</si>
  <si>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</si>
  <si>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</si>
  <si>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</si>
  <si>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</si>
  <si>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</si>
  <si>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มี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</si>
  <si>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เมษายน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</si>
  <si>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</si>
  <si>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</si>
  <si>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</si>
  <si>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</si>
  <si>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</si>
  <si>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</si>
  <si>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69/02472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</si>
  <si>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</si>
  <si>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69/02473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</si>
  <si>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</si>
  <si>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69/02474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</si>
  <si>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</si>
  <si>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</si>
  <si>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69/02475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</si>
  <si>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</si>
  <si>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</si>
  <si>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</si>
  <si>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69/02476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</si>
  <si>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</si>
  <si>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69/02477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</si>
  <si>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</si>
  <si>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</si>
  <si>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</si>
  <si>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</si>
  <si>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</si>
  <si>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เม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</si>
  <si>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</si>
  <si>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69/02479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</si>
  <si>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69/02481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</si>
  <si>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พฤษภาคม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</si>
  <si>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</si>
  <si>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</si>
  <si>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</si>
  <si>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2569/00093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</si>
  <si>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</si>
  <si>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2569/00094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</si>
  <si>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</si>
  <si>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69/02482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</si>
  <si>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69/02483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</si>
  <si>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</si>
  <si>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2569/00096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</si>
  <si>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</si>
  <si>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</si>
  <si>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</si>
  <si>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69/02484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</si>
  <si>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</si>
  <si>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</si>
  <si>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</si>
  <si>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</si>
  <si>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2569/00097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</si>
  <si>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</si>
  <si>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2569/00098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</si>
  <si>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</si>
  <si>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</si>
  <si>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</si>
  <si>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</si>
  <si>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</si>
  <si>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พ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</si>
  <si>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มิถุนายน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</si>
  <si>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</si>
  <si>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</si>
  <si>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</si>
  <si>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</si>
  <si>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</si>
  <si>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</si>
  <si>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</si>
  <si>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</si>
  <si>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</si>
  <si>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</si>
  <si>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69/02485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</si>
  <si>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</si>
  <si>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</si>
  <si>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69/02486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</si>
  <si>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</si>
  <si>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</si>
  <si>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</si>
  <si>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</si>
  <si>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</si>
  <si>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69/02487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</si>
  <si>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</si>
  <si>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29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</si>
  <si>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69/02488</t>
    </r>
  </si>
  <si>
    <r>
      <rPr>
        <sz val="16"/>
        <color theme="1"/>
        <rFont val="TH SarabunPSK"/>
        <family val="0"/>
        <charset val="1"/>
      </rPr>
      <t xml:space="preserve">30 </t>
    </r>
    <r>
      <rPr>
        <sz val="16"/>
        <color theme="1"/>
        <rFont val="Arial"/>
        <family val="0"/>
        <charset val="1"/>
      </rPr>
      <t xml:space="preserve">มิ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</si>
  <si>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69/02489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</si>
  <si>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กรกฎาคม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</si>
  <si>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</si>
  <si>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2569/00099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</si>
  <si>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</si>
  <si>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</si>
  <si>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</si>
  <si>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</si>
  <si>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</si>
  <si>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</si>
  <si>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</si>
  <si>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</si>
  <si>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69/02490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</si>
  <si>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</si>
  <si>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2569/00100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</si>
  <si>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</si>
  <si>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</si>
  <si>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</si>
  <si>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69/02491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</si>
  <si>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</si>
  <si>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69/02492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</si>
  <si>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</si>
  <si>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69/02493</t>
    </r>
  </si>
  <si>
    <r>
      <rPr>
        <sz val="16"/>
        <color theme="1"/>
        <rFont val="TH SarabunPSK"/>
        <family val="0"/>
        <charset val="1"/>
      </rPr>
      <t xml:space="preserve">22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</si>
  <si>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</si>
  <si>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</si>
  <si>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</si>
  <si>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</si>
  <si>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2569/00101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</si>
  <si>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69/02494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</si>
  <si>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สิงหาคม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</si>
  <si>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b val="true"/>
        <sz val="16"/>
        <color theme="1"/>
        <rFont val="Arial"/>
        <family val="0"/>
        <charset val="1"/>
      </rPr>
      <t xml:space="preserve">พน</t>
    </r>
    <r>
      <rPr>
        <b val="true"/>
        <sz val="16"/>
        <color theme="1"/>
        <rFont val="TH SarabunPSK"/>
        <family val="0"/>
        <charset val="1"/>
      </rPr>
      <t xml:space="preserve">0401.1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</si>
  <si>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</si>
  <si>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</si>
  <si>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</si>
  <si>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</si>
  <si>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2569/00102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</si>
  <si>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</si>
  <si>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</si>
  <si>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</si>
  <si>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69/02495</t>
    </r>
  </si>
  <si>
    <r>
      <rPr>
        <sz val="16"/>
        <color theme="1"/>
        <rFont val="TH SarabunPSK"/>
        <family val="0"/>
        <charset val="1"/>
      </rPr>
      <t xml:space="preserve">13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</si>
  <si>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69/02496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</si>
  <si>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</si>
  <si>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</si>
  <si>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</si>
  <si>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19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</si>
  <si>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20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</si>
  <si>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</si>
  <si>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2569/00103</t>
    </r>
  </si>
  <si>
    <r>
      <rPr>
        <sz val="16"/>
        <color theme="1"/>
        <rFont val="TH SarabunPSK"/>
        <family val="0"/>
        <charset val="1"/>
      </rPr>
      <t xml:space="preserve">24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</si>
  <si>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25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</si>
  <si>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69/02497</t>
    </r>
  </si>
  <si>
    <r>
      <rPr>
        <sz val="16"/>
        <color theme="1"/>
        <rFont val="TH SarabunPSK"/>
        <family val="0"/>
        <charset val="1"/>
      </rPr>
      <t xml:space="preserve">26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</si>
  <si>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27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</si>
  <si>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69/02498</t>
    </r>
  </si>
  <si>
    <r>
      <rPr>
        <sz val="16"/>
        <color theme="1"/>
        <rFont val="TH SarabunPSK"/>
        <family val="0"/>
        <charset val="1"/>
      </rPr>
      <t xml:space="preserve">28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</si>
  <si>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31 </t>
    </r>
    <r>
      <rPr>
        <sz val="16"/>
        <color theme="1"/>
        <rFont val="Arial"/>
        <family val="0"/>
        <charset val="1"/>
      </rPr>
      <t xml:space="preserve">ส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ค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</si>
  <si>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69/02499</t>
    </r>
  </si>
  <si>
    <r>
      <rPr>
        <b val="true"/>
        <sz val="18"/>
        <color theme="1"/>
        <rFont val="Arial"/>
        <family val="0"/>
        <charset val="1"/>
      </rPr>
      <t xml:space="preserve">รายงานการรับชำระค่าธรรมเนียมผ่านธนาคาร เดือน กันยายน </t>
    </r>
    <r>
      <rPr>
        <b val="true"/>
        <sz val="18"/>
        <color theme="1"/>
        <rFont val="TH SarabunPSK"/>
        <family val="0"/>
        <charset val="1"/>
      </rPr>
      <t xml:space="preserve">2569</t>
    </r>
  </si>
  <si>
    <r>
      <rPr>
        <sz val="16"/>
        <color theme="1"/>
        <rFont val="TH SarabunPSK"/>
        <family val="0"/>
        <charset val="1"/>
      </rPr>
      <t xml:space="preserve">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</si>
  <si>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69/02500</t>
    </r>
  </si>
  <si>
    <r>
      <rPr>
        <sz val="16"/>
        <color theme="1"/>
        <rFont val="TH SarabunPSK"/>
        <family val="0"/>
        <charset val="1"/>
      </rPr>
      <t xml:space="preserve">2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</si>
  <si>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69/02501</t>
    </r>
  </si>
  <si>
    <r>
      <rPr>
        <sz val="16"/>
        <color theme="1"/>
        <rFont val="TH SarabunPSK"/>
        <family val="0"/>
        <charset val="1"/>
      </rPr>
      <t xml:space="preserve">3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</si>
  <si>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2569/00104</t>
    </r>
  </si>
  <si>
    <r>
      <rPr>
        <sz val="16"/>
        <color theme="1"/>
        <rFont val="TH SarabunPSK"/>
        <family val="0"/>
        <charset val="1"/>
      </rPr>
      <t xml:space="preserve">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</si>
  <si>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69/02502</t>
    </r>
  </si>
  <si>
    <r>
      <rPr>
        <sz val="16"/>
        <color theme="1"/>
        <rFont val="TH SarabunPSK"/>
        <family val="0"/>
        <charset val="1"/>
      </rPr>
      <t xml:space="preserve">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</si>
  <si>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8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</si>
  <si>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9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</si>
  <si>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10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</si>
  <si>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11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</si>
  <si>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2569/00105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</si>
  <si>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69/02503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</si>
  <si>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</si>
  <si>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2569/00106</t>
    </r>
  </si>
  <si>
    <r>
      <rPr>
        <sz val="16"/>
        <color theme="1"/>
        <rFont val="TH SarabunPSK"/>
        <family val="0"/>
        <charset val="1"/>
      </rPr>
      <t xml:space="preserve">14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</si>
  <si>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</si>
  <si>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TH SarabunPSK"/>
        <family val="0"/>
        <charset val="1"/>
      </rPr>
      <t xml:space="preserve">15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</si>
  <si>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</si>
  <si>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sz val="16"/>
        <color theme="1"/>
        <rFont val="Arial"/>
        <family val="0"/>
        <charset val="1"/>
      </rPr>
      <t xml:space="preserve">ศ</t>
    </r>
    <r>
      <rPr>
        <sz val="16"/>
        <color theme="1"/>
        <rFont val="TH SarabunPSK"/>
        <family val="0"/>
        <charset val="1"/>
      </rPr>
      <t xml:space="preserve">2569/00107</t>
    </r>
  </si>
  <si>
    <r>
      <rPr>
        <sz val="16"/>
        <color theme="1"/>
        <rFont val="TH SarabunPSK"/>
        <family val="0"/>
        <charset val="1"/>
      </rPr>
      <t xml:space="preserve">16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 69</t>
    </r>
  </si>
  <si>
    <r>
      <rPr>
        <sz val="16"/>
        <color theme="1"/>
        <rFont val="TH SarabunPSK"/>
        <family val="0"/>
        <charset val="1"/>
      </rPr>
      <t xml:space="preserve">17 </t>
    </r>
    <r>
      <rPr>
        <sz val="16"/>
        <color theme="1"/>
        <rFont val="Arial"/>
        <family val="0"/>
        <charset val="1"/>
      </rPr>
      <t xml:space="preserve">ก</t>
    </r>
    <r>
      <rPr>
        <sz val="16"/>
        <color theme="1"/>
        <rFont val="TH SarabunPSK"/>
        <family val="0"/>
        <charset val="1"/>
      </rPr>
      <t xml:space="preserve">.</t>
    </r>
    <r>
      <rPr>
        <sz val="16"/>
        <color theme="1"/>
        <rFont val="Arial"/>
        <family val="0"/>
        <charset val="1"/>
      </rPr>
      <t xml:space="preserve">ย</t>
    </r>
    <r>
      <rPr>
        <sz val="16"/>
        <color theme="1"/>
        <rFont val="TH SarabunPSK"/>
        <family val="0"/>
        <charset val="1"/>
      </rPr>
      <t xml:space="preserve">.. 69</t>
    </r>
  </si>
  <si>
    <r>
      <rPr>
        <b val="true"/>
        <sz val="25"/>
        <color theme="1"/>
        <rFont val="Arial"/>
        <family val="0"/>
        <charset val="1"/>
      </rPr>
      <t xml:space="preserve">รายงานการรับชำระค่าธรรมเนียมผ่านศบธ</t>
    </r>
    <r>
      <rPr>
        <b val="true"/>
        <sz val="25"/>
        <color theme="1"/>
        <rFont val="TH SarabunPSK"/>
        <family val="0"/>
        <charset val="1"/>
      </rPr>
      <t xml:space="preserve">. 2569</t>
    </r>
  </si>
  <si>
    <t xml:space="preserve">เดือน</t>
  </si>
  <si>
    <r>
      <rPr>
        <b val="true"/>
        <sz val="16"/>
        <color theme="1"/>
        <rFont val="Arial"/>
        <family val="0"/>
        <charset val="1"/>
      </rPr>
      <t xml:space="preserve">ระบบ </t>
    </r>
    <r>
      <rPr>
        <b val="true"/>
        <sz val="16"/>
        <color theme="1"/>
        <rFont val="TH SarabunPSK"/>
        <family val="0"/>
        <charset val="1"/>
      </rPr>
      <t xml:space="preserve">Receipt  </t>
    </r>
  </si>
  <si>
    <r>
      <rPr>
        <b val="true"/>
        <sz val="16"/>
        <color theme="1"/>
        <rFont val="Arial"/>
        <family val="0"/>
        <charset val="1"/>
      </rPr>
      <t xml:space="preserve">รวม </t>
    </r>
    <r>
      <rPr>
        <b val="true"/>
        <sz val="16"/>
        <color theme="1"/>
        <rFont val="TH SarabunPSK"/>
        <family val="0"/>
        <charset val="1"/>
      </rPr>
      <t xml:space="preserve">3 </t>
    </r>
    <r>
      <rPr>
        <b val="true"/>
        <sz val="16"/>
        <color theme="1"/>
        <rFont val="Arial"/>
        <family val="0"/>
        <charset val="1"/>
      </rPr>
      <t xml:space="preserve">ช่องทาง</t>
    </r>
  </si>
  <si>
    <r>
      <rPr>
        <b val="true"/>
        <sz val="16"/>
        <color theme="1"/>
        <rFont val="Arial"/>
        <family val="0"/>
        <charset val="1"/>
      </rPr>
      <t xml:space="preserve">ต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</si>
  <si>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</si>
  <si>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ธ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.68</t>
    </r>
  </si>
  <si>
    <r>
      <rPr>
        <b val="true"/>
        <sz val="16"/>
        <color theme="1"/>
        <rFont val="Arial"/>
        <family val="0"/>
        <charset val="1"/>
      </rPr>
      <t xml:space="preserve">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</si>
  <si>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</si>
  <si>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มี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</si>
  <si>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เม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</si>
  <si>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พ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</si>
  <si>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มิ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</si>
  <si>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</si>
  <si>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ส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ค</t>
    </r>
    <r>
      <rPr>
        <b val="true"/>
        <sz val="16"/>
        <color theme="1"/>
        <rFont val="TH SarabunPSK"/>
        <family val="0"/>
        <charset val="1"/>
      </rPr>
      <t xml:space="preserve">.69</t>
    </r>
  </si>
  <si>
    <r>
      <rPr>
        <b val="true"/>
        <sz val="16"/>
        <color theme="1"/>
        <rFont val="Arial"/>
        <family val="0"/>
        <charset val="1"/>
      </rPr>
      <t xml:space="preserve">ก</t>
    </r>
    <r>
      <rPr>
        <b val="true"/>
        <sz val="16"/>
        <color theme="1"/>
        <rFont val="TH SarabunPSK"/>
        <family val="0"/>
        <charset val="1"/>
      </rPr>
      <t xml:space="preserve">.</t>
    </r>
    <r>
      <rPr>
        <b val="true"/>
        <sz val="16"/>
        <color theme="1"/>
        <rFont val="Arial"/>
        <family val="0"/>
        <charset val="1"/>
      </rPr>
      <t xml:space="preserve">ย</t>
    </r>
    <r>
      <rPr>
        <b val="true"/>
        <sz val="16"/>
        <color theme="1"/>
        <rFont val="TH SarabunPSK"/>
        <family val="0"/>
        <charset val="1"/>
      </rPr>
      <t xml:space="preserve">.69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</si>
</sst>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#,##0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rial"/>
      <family val="0"/>
      <charset val="1"/>
    </font>
    <font>
      <b val="true"/>
      <sz val="18"/>
      <color theme="1"/>
      <name val="TH SarabunPSK"/>
      <family val="0"/>
      <charset val="1"/>
    </font>
    <font>
      <sz val="16"/>
      <color theme="1"/>
      <name val="TH SarabunPSK"/>
      <family val="0"/>
      <charset val="1"/>
    </font>
    <font>
      <b val="true"/>
      <sz val="16"/>
      <color theme="1"/>
      <name val="Arial"/>
      <family val="0"/>
      <charset val="1"/>
    </font>
    <font>
      <b val="true"/>
      <sz val="16"/>
      <color theme="1"/>
      <name val="TH SarabunPSK"/>
      <family val="0"/>
      <charset val="1"/>
    </font>
    <font>
      <sz val="16"/>
      <color rgb="FFFF0000"/>
      <name val="TH SarabunPSK"/>
      <family val="0"/>
      <charset val="1"/>
    </font>
    <font>
      <sz val="12"/>
      <color rgb="FFFF0000"/>
      <name val="TH SarabunPSK"/>
      <family val="0"/>
      <charset val="1"/>
    </font>
    <font>
      <b val="true"/>
      <u val="single"/>
      <sz val="16"/>
      <color theme="1"/>
      <name val="TH SarabunPSK"/>
      <family val="0"/>
      <charset val="1"/>
    </font>
    <font>
      <b val="true"/>
      <sz val="16"/>
      <color rgb="FFFF0000"/>
      <name val="TH SarabunPSK"/>
      <family val="0"/>
      <charset val="1"/>
    </font>
    <font>
      <sz val="16"/>
      <color theme="1"/>
      <name val="Arial"/>
      <family val="0"/>
      <charset val="1"/>
    </font>
    <font>
      <sz val="13"/>
      <color theme="1"/>
      <name val="Arial"/>
      <family val="0"/>
      <charset val="1"/>
    </font>
    <font>
      <sz val="13"/>
      <color theme="1"/>
      <name val="TH SarabunPSK"/>
      <family val="0"/>
      <charset val="1"/>
    </font>
    <font>
      <sz val="9"/>
      <color rgb="FFFF0000"/>
      <name val="TH SarabunPSK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TH SarabunPSK"/>
      <family val="0"/>
      <charset val="1"/>
    </font>
    <font>
      <sz val="10"/>
      <color rgb="FFFF0000"/>
      <name val="TH SarabunPSK"/>
      <family val="0"/>
      <charset val="1"/>
    </font>
    <font>
      <b val="true"/>
      <sz val="25"/>
      <color theme="1"/>
      <name val="Arial"/>
      <family val="0"/>
      <charset val="1"/>
    </font>
    <font>
      <b val="true"/>
      <sz val="25"/>
      <color theme="1"/>
      <name val="TH SarabunPSK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E599"/>
        <bgColor rgb="FFFFE6CB"/>
      </patternFill>
    </fill>
    <fill>
      <patternFill patternType="solid">
        <fgColor rgb="FFA7E3F5"/>
        <bgColor rgb="FF92CDDC"/>
      </patternFill>
    </fill>
    <fill>
      <patternFill patternType="solid">
        <fgColor rgb="FFFFD966"/>
        <bgColor rgb="FFFFE599"/>
      </patternFill>
    </fill>
    <fill>
      <patternFill patternType="solid">
        <fgColor rgb="FFF6B26B"/>
        <bgColor rgb="FFFFA8A8"/>
      </patternFill>
    </fill>
    <fill>
      <patternFill patternType="solid">
        <fgColor rgb="FF93C47D"/>
        <bgColor rgb="FFB6D7A8"/>
      </patternFill>
    </fill>
    <fill>
      <patternFill patternType="solid">
        <fgColor rgb="FFFFA8A8"/>
        <bgColor rgb="FFF6B26B"/>
      </patternFill>
    </fill>
    <fill>
      <patternFill patternType="solid">
        <fgColor rgb="FFB4A7D6"/>
        <bgColor rgb="FF9FC5E8"/>
      </patternFill>
    </fill>
    <fill>
      <patternFill patternType="solid">
        <fgColor rgb="FF9FC5E8"/>
        <bgColor rgb="FF92CDDC"/>
      </patternFill>
    </fill>
    <fill>
      <patternFill patternType="solid">
        <fgColor rgb="FF92CDDC"/>
        <bgColor rgb="FF9FC5E8"/>
      </patternFill>
    </fill>
    <fill>
      <patternFill patternType="solid">
        <fgColor rgb="FFE1F8FF"/>
        <bgColor rgb="FFFFFAEB"/>
      </patternFill>
    </fill>
    <fill>
      <patternFill patternType="solid">
        <fgColor rgb="FFFFFAEB"/>
        <bgColor rgb="FFE1F8FF"/>
      </patternFill>
    </fill>
    <fill>
      <patternFill patternType="solid">
        <fgColor rgb="FFFFE6CB"/>
        <bgColor rgb="FFFFD6D6"/>
      </patternFill>
    </fill>
    <fill>
      <patternFill patternType="solid">
        <fgColor rgb="FFD9EFCF"/>
        <bgColor rgb="FFE1F8FF"/>
      </patternFill>
    </fill>
    <fill>
      <patternFill patternType="solid">
        <fgColor rgb="FFFFD6D6"/>
        <bgColor rgb="FFFFE6CB"/>
      </patternFill>
    </fill>
    <fill>
      <patternFill patternType="solid">
        <fgColor theme="9"/>
        <bgColor rgb="FF6FA8DC"/>
      </patternFill>
    </fill>
    <fill>
      <patternFill patternType="solid">
        <fgColor rgb="FF6FA8DC"/>
        <bgColor rgb="FF46BDC6"/>
      </patternFill>
    </fill>
    <fill>
      <patternFill patternType="solid">
        <fgColor rgb="FFB6D7A8"/>
        <bgColor rgb="FF92CDD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thick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3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1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A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92CDDC"/>
      <rgbColor rgb="FF6FA8DC"/>
      <rgbColor rgb="FF993366"/>
      <rgbColor rgb="FFFFE6CB"/>
      <rgbColor rgb="FFE1F8FF"/>
      <rgbColor rgb="FF660066"/>
      <rgbColor rgb="FFF6B26B"/>
      <rgbColor rgb="FF0066CC"/>
      <rgbColor rgb="FFA7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6D6"/>
      <rgbColor rgb="FFD9EFCF"/>
      <rgbColor rgb="FFFFD966"/>
      <rgbColor rgb="FF9FC5E8"/>
      <rgbColor rgb="FFFFA8A8"/>
      <rgbColor rgb="FFB4A7D6"/>
      <rgbColor rgb="FFFFE599"/>
      <rgbColor rgb="FF3366FF"/>
      <rgbColor rgb="FF46BDC6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outlinePr summaryBelow="0"/>
    <pageSetUpPr fitToPage="true"/>
  </sheetPr>
  <dimension ref="A1:AB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1" min="11" style="0" width="13.5"/>
    <col min="2" max="2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1" min="21" style="0" width="18.13"/>
    <col collapsed="false" customWidth="true" hidden="true" outlineLevel="0" max="22" min="22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1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1"/>
      <c r="AA5" s="11"/>
      <c r="AB5" s="11"/>
    </row>
    <row r="6" customFormat="false" ht="19.7" hidden="false" customHeight="false" outlineLevel="0" collapsed="false">
      <c r="A6" s="27"/>
      <c r="B6" s="27"/>
      <c r="C6" s="28" t="s">
        <v>22</v>
      </c>
      <c r="D6" s="29"/>
      <c r="E6" s="30"/>
      <c r="F6" s="31"/>
      <c r="G6" s="32"/>
      <c r="H6" s="33"/>
      <c r="I6" s="33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8"/>
      <c r="P6" s="39"/>
      <c r="Q6" s="39"/>
      <c r="R6" s="40"/>
      <c r="S6" s="41"/>
      <c r="T6" s="42"/>
      <c r="U6" s="43" t="e">
        <f aca="false">#REF!</f>
        <v>#REF!</v>
      </c>
      <c r="V6" s="44" t="n">
        <f aca="false">R6</f>
        <v>0</v>
      </c>
      <c r="W6" s="36" t="n">
        <f aca="false">SUM(M6,Q6)</f>
        <v>0</v>
      </c>
      <c r="X6" s="45" t="n">
        <f aca="false">SUM(N6,R6)</f>
        <v>0</v>
      </c>
      <c r="Y6" s="46"/>
      <c r="Z6" s="43"/>
      <c r="AA6" s="41"/>
      <c r="AB6" s="41"/>
    </row>
    <row r="7" customFormat="false" ht="19.7" hidden="false" customHeight="false" outlineLevel="0" collapsed="false">
      <c r="A7" s="27"/>
      <c r="B7" s="27"/>
      <c r="C7" s="28" t="s">
        <v>22</v>
      </c>
      <c r="D7" s="29"/>
      <c r="E7" s="30"/>
      <c r="F7" s="31"/>
      <c r="G7" s="32"/>
      <c r="H7" s="33"/>
      <c r="I7" s="33"/>
      <c r="J7" s="34"/>
      <c r="K7" s="33"/>
      <c r="L7" s="35"/>
      <c r="M7" s="36" t="n">
        <f aca="false">SUM(C7,I7)</f>
        <v>0</v>
      </c>
      <c r="N7" s="37" t="n">
        <f aca="false">SUM(D7,J7)</f>
        <v>0</v>
      </c>
      <c r="O7" s="38"/>
      <c r="P7" s="39"/>
      <c r="Q7" s="39"/>
      <c r="R7" s="40"/>
      <c r="S7" s="41"/>
      <c r="T7" s="42"/>
      <c r="U7" s="43" t="e">
        <f aca="false">#REF!</f>
        <v>#REF!</v>
      </c>
      <c r="V7" s="44" t="n">
        <f aca="false">R7</f>
        <v>0</v>
      </c>
      <c r="W7" s="36" t="n">
        <f aca="false">SUM(M7,Q7)</f>
        <v>0</v>
      </c>
      <c r="X7" s="45" t="n">
        <f aca="false">SUM(N7,R7)</f>
        <v>0</v>
      </c>
      <c r="Y7" s="46"/>
      <c r="Z7" s="43"/>
      <c r="AA7" s="41"/>
      <c r="AB7" s="41"/>
    </row>
    <row r="8" customFormat="false" ht="19.7" hidden="false" customHeight="false" outlineLevel="0" collapsed="false">
      <c r="A8" s="27"/>
      <c r="B8" s="27"/>
      <c r="C8" s="28"/>
      <c r="D8" s="29"/>
      <c r="E8" s="30"/>
      <c r="F8" s="31"/>
      <c r="G8" s="32"/>
      <c r="H8" s="33"/>
      <c r="I8" s="33"/>
      <c r="J8" s="34"/>
      <c r="K8" s="33"/>
      <c r="L8" s="35"/>
      <c r="M8" s="36" t="n">
        <f aca="false">SUM(C8,I8)</f>
        <v>0</v>
      </c>
      <c r="N8" s="37" t="n">
        <f aca="false">SUM(D8,J8)</f>
        <v>0</v>
      </c>
      <c r="O8" s="38"/>
      <c r="P8" s="39"/>
      <c r="Q8" s="39"/>
      <c r="R8" s="40"/>
      <c r="S8" s="41"/>
      <c r="T8" s="42"/>
      <c r="U8" s="43" t="e">
        <f aca="false">#REF!</f>
        <v>#REF!</v>
      </c>
      <c r="V8" s="44" t="n">
        <f aca="false">R8</f>
        <v>0</v>
      </c>
      <c r="W8" s="36" t="n">
        <f aca="false">SUM(M8,Q8)</f>
        <v>0</v>
      </c>
      <c r="X8" s="45" t="n">
        <f aca="false">SUM(N8,R8)</f>
        <v>0</v>
      </c>
      <c r="Y8" s="46"/>
      <c r="Z8" s="43"/>
      <c r="AA8" s="41"/>
      <c r="AB8" s="41"/>
    </row>
    <row r="9" customFormat="false" ht="19.7" hidden="false" customHeight="false" outlineLevel="0" collapsed="false">
      <c r="A9" s="27"/>
      <c r="B9" s="27"/>
      <c r="C9" s="28"/>
      <c r="D9" s="29"/>
      <c r="E9" s="30"/>
      <c r="F9" s="31"/>
      <c r="G9" s="32"/>
      <c r="H9" s="33"/>
      <c r="I9" s="33"/>
      <c r="J9" s="34"/>
      <c r="K9" s="33"/>
      <c r="L9" s="35"/>
      <c r="M9" s="36" t="n">
        <f aca="false">SUM(C9,I9)</f>
        <v>0</v>
      </c>
      <c r="N9" s="37" t="n">
        <f aca="false">SUM(D9,J9)</f>
        <v>0</v>
      </c>
      <c r="O9" s="38"/>
      <c r="P9" s="39"/>
      <c r="Q9" s="39"/>
      <c r="R9" s="40"/>
      <c r="S9" s="41"/>
      <c r="T9" s="42"/>
      <c r="U9" s="43" t="e">
        <f aca="false">#REF!</f>
        <v>#REF!</v>
      </c>
      <c r="V9" s="44" t="n">
        <f aca="false">R9</f>
        <v>0</v>
      </c>
      <c r="W9" s="36" t="n">
        <f aca="false">SUM(M9,Q9)</f>
        <v>0</v>
      </c>
      <c r="X9" s="45" t="n">
        <f aca="false">SUM(N9,R9)</f>
        <v>0</v>
      </c>
      <c r="Y9" s="46"/>
      <c r="Z9" s="43"/>
      <c r="AA9" s="41"/>
      <c r="AB9" s="41"/>
    </row>
    <row r="10" customFormat="false" ht="19.7" hidden="false" customHeight="false" outlineLevel="0" collapsed="false">
      <c r="A10" s="27"/>
      <c r="B10" s="27"/>
      <c r="C10" s="28"/>
      <c r="D10" s="29"/>
      <c r="E10" s="30"/>
      <c r="F10" s="31"/>
      <c r="G10" s="32"/>
      <c r="H10" s="33"/>
      <c r="I10" s="33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8"/>
      <c r="P10" s="39"/>
      <c r="Q10" s="39"/>
      <c r="R10" s="40"/>
      <c r="S10" s="41"/>
      <c r="T10" s="42"/>
      <c r="U10" s="43" t="e">
        <f aca="false">#REF!</f>
        <v>#REF!</v>
      </c>
      <c r="V10" s="44" t="n">
        <f aca="false">R10</f>
        <v>0</v>
      </c>
      <c r="W10" s="36" t="n">
        <f aca="false">SUM(M10,Q10)</f>
        <v>0</v>
      </c>
      <c r="X10" s="45" t="n">
        <f aca="false">SUM(N10,R10)</f>
        <v>0</v>
      </c>
      <c r="Y10" s="46"/>
      <c r="Z10" s="43"/>
      <c r="AA10" s="41"/>
      <c r="AB10" s="41"/>
    </row>
    <row r="11" customFormat="false" ht="19.7" hidden="false" customHeight="false" outlineLevel="0" collapsed="false">
      <c r="A11" s="27"/>
      <c r="B11" s="27"/>
      <c r="C11" s="28"/>
      <c r="D11" s="29"/>
      <c r="E11" s="30"/>
      <c r="F11" s="31"/>
      <c r="G11" s="32"/>
      <c r="H11" s="33"/>
      <c r="I11" s="33"/>
      <c r="J11" s="34"/>
      <c r="K11" s="33"/>
      <c r="L11" s="35"/>
      <c r="M11" s="36" t="n">
        <f aca="false">SUM(C11,I11)</f>
        <v>0</v>
      </c>
      <c r="N11" s="37" t="n">
        <f aca="false">SUM(D11,J11)</f>
        <v>0</v>
      </c>
      <c r="O11" s="38"/>
      <c r="P11" s="39"/>
      <c r="Q11" s="39"/>
      <c r="R11" s="40"/>
      <c r="S11" s="41"/>
      <c r="T11" s="42"/>
      <c r="U11" s="43" t="e">
        <f aca="false">#REF!</f>
        <v>#REF!</v>
      </c>
      <c r="V11" s="44" t="n">
        <f aca="false">R11</f>
        <v>0</v>
      </c>
      <c r="W11" s="36" t="n">
        <f aca="false">SUM(M11,Q11)</f>
        <v>0</v>
      </c>
      <c r="X11" s="45" t="n">
        <f aca="false">SUM(N11,R11)</f>
        <v>0</v>
      </c>
      <c r="Y11" s="46"/>
      <c r="Z11" s="43"/>
      <c r="AA11" s="41"/>
      <c r="AB11" s="41"/>
    </row>
    <row r="12" customFormat="false" ht="19.7" hidden="false" customHeight="false" outlineLevel="0" collapsed="false">
      <c r="A12" s="27"/>
      <c r="B12" s="27"/>
      <c r="C12" s="28"/>
      <c r="D12" s="29"/>
      <c r="E12" s="30"/>
      <c r="F12" s="31"/>
      <c r="G12" s="32"/>
      <c r="H12" s="33"/>
      <c r="I12" s="33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8"/>
      <c r="P12" s="39"/>
      <c r="Q12" s="39"/>
      <c r="R12" s="40"/>
      <c r="S12" s="41"/>
      <c r="T12" s="42"/>
      <c r="U12" s="43" t="e">
        <f aca="false">#REF!</f>
        <v>#REF!</v>
      </c>
      <c r="V12" s="44" t="n">
        <f aca="false">R12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/>
      <c r="AA12" s="41"/>
      <c r="AB12" s="41"/>
    </row>
    <row r="13" customFormat="false" ht="19.7" hidden="false" customHeight="false" outlineLevel="0" collapsed="false">
      <c r="A13" s="27"/>
      <c r="B13" s="27"/>
      <c r="C13" s="28"/>
      <c r="D13" s="29"/>
      <c r="E13" s="30"/>
      <c r="F13" s="31"/>
      <c r="G13" s="32"/>
      <c r="H13" s="33"/>
      <c r="I13" s="33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38"/>
      <c r="P13" s="39"/>
      <c r="Q13" s="39"/>
      <c r="R13" s="40"/>
      <c r="S13" s="41"/>
      <c r="T13" s="42"/>
      <c r="U13" s="43" t="e">
        <f aca="false">#REF!</f>
        <v>#REF!</v>
      </c>
      <c r="V13" s="44" t="n">
        <f aca="false">R13</f>
        <v>0</v>
      </c>
      <c r="W13" s="36" t="n">
        <f aca="false">SUM(M13,Q13)</f>
        <v>0</v>
      </c>
      <c r="X13" s="45" t="n">
        <f aca="false">SUM(N13,R13)</f>
        <v>0</v>
      </c>
      <c r="Y13" s="46"/>
      <c r="Z13" s="43"/>
      <c r="AA13" s="41"/>
      <c r="AB13" s="41"/>
    </row>
    <row r="14" customFormat="false" ht="19.7" hidden="false" customHeight="false" outlineLevel="0" collapsed="false">
      <c r="A14" s="27"/>
      <c r="B14" s="27"/>
      <c r="C14" s="28"/>
      <c r="D14" s="29"/>
      <c r="E14" s="30"/>
      <c r="F14" s="31"/>
      <c r="G14" s="32"/>
      <c r="H14" s="33"/>
      <c r="I14" s="33"/>
      <c r="J14" s="34"/>
      <c r="K14" s="33"/>
      <c r="L14" s="35"/>
      <c r="M14" s="36" t="n">
        <f aca="false">SUM(C14,I14)</f>
        <v>0</v>
      </c>
      <c r="N14" s="37" t="n">
        <f aca="false">SUM(D14,J14)</f>
        <v>0</v>
      </c>
      <c r="O14" s="38"/>
      <c r="P14" s="39"/>
      <c r="Q14" s="39"/>
      <c r="R14" s="40"/>
      <c r="S14" s="41"/>
      <c r="T14" s="42"/>
      <c r="U14" s="43" t="e">
        <f aca="false">#REF!</f>
        <v>#REF!</v>
      </c>
      <c r="V14" s="44" t="n">
        <f aca="false">R14</f>
        <v>0</v>
      </c>
      <c r="W14" s="36" t="n">
        <f aca="false">SUM(M14,Q14)</f>
        <v>0</v>
      </c>
      <c r="X14" s="45" t="n">
        <f aca="false">SUM(N14,R14)</f>
        <v>0</v>
      </c>
      <c r="Y14" s="46"/>
      <c r="Z14" s="43"/>
      <c r="AA14" s="41"/>
      <c r="AB14" s="41"/>
    </row>
    <row r="15" customFormat="false" ht="19.7" hidden="false" customHeight="false" outlineLevel="0" collapsed="false">
      <c r="A15" s="27"/>
      <c r="B15" s="27"/>
      <c r="C15" s="28"/>
      <c r="D15" s="29"/>
      <c r="E15" s="30"/>
      <c r="F15" s="31"/>
      <c r="G15" s="32"/>
      <c r="H15" s="33"/>
      <c r="I15" s="33"/>
      <c r="J15" s="34"/>
      <c r="K15" s="33"/>
      <c r="L15" s="35"/>
      <c r="M15" s="36" t="n">
        <f aca="false">SUM(C15,I15)</f>
        <v>0</v>
      </c>
      <c r="N15" s="37" t="n">
        <f aca="false">SUM(D15,J15)</f>
        <v>0</v>
      </c>
      <c r="O15" s="38"/>
      <c r="P15" s="39"/>
      <c r="Q15" s="39"/>
      <c r="R15" s="40"/>
      <c r="S15" s="41"/>
      <c r="T15" s="42"/>
      <c r="U15" s="43" t="e">
        <f aca="false">#REF!</f>
        <v>#REF!</v>
      </c>
      <c r="V15" s="44" t="n">
        <f aca="false">R15</f>
        <v>0</v>
      </c>
      <c r="W15" s="36" t="n">
        <f aca="false">SUM(M15,Q15)</f>
        <v>0</v>
      </c>
      <c r="X15" s="45" t="n">
        <f aca="false">SUM(N15,R15)</f>
        <v>0</v>
      </c>
      <c r="Y15" s="46"/>
      <c r="Z15" s="43"/>
      <c r="AA15" s="41"/>
      <c r="AB15" s="41"/>
    </row>
    <row r="16" customFormat="false" ht="19.7" hidden="false" customHeight="false" outlineLevel="0" collapsed="false">
      <c r="A16" s="27"/>
      <c r="B16" s="27"/>
      <c r="C16" s="28"/>
      <c r="D16" s="29"/>
      <c r="E16" s="30"/>
      <c r="F16" s="31"/>
      <c r="G16" s="32"/>
      <c r="H16" s="33"/>
      <c r="I16" s="33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8"/>
      <c r="P16" s="39"/>
      <c r="Q16" s="39"/>
      <c r="R16" s="40"/>
      <c r="S16" s="41"/>
      <c r="T16" s="42"/>
      <c r="U16" s="43"/>
      <c r="V16" s="47"/>
      <c r="W16" s="36"/>
      <c r="X16" s="48"/>
      <c r="Y16" s="46"/>
      <c r="Z16" s="43"/>
      <c r="AA16" s="41"/>
      <c r="AB16" s="41"/>
    </row>
    <row r="17" customFormat="false" ht="19.7" hidden="false" customHeight="false" outlineLevel="0" collapsed="false">
      <c r="A17" s="27"/>
      <c r="B17" s="27"/>
      <c r="C17" s="28"/>
      <c r="D17" s="29"/>
      <c r="E17" s="30"/>
      <c r="F17" s="31"/>
      <c r="G17" s="32"/>
      <c r="H17" s="33"/>
      <c r="I17" s="33"/>
      <c r="J17" s="34"/>
      <c r="K17" s="33"/>
      <c r="L17" s="35"/>
      <c r="M17" s="36" t="n">
        <f aca="false">SUM(C17,I17)</f>
        <v>0</v>
      </c>
      <c r="N17" s="37" t="n">
        <f aca="false">SUM(D17,J17)</f>
        <v>0</v>
      </c>
      <c r="O17" s="38"/>
      <c r="P17" s="39"/>
      <c r="Q17" s="39"/>
      <c r="R17" s="40"/>
      <c r="S17" s="41"/>
      <c r="T17" s="42"/>
      <c r="U17" s="43"/>
      <c r="V17" s="47"/>
      <c r="W17" s="36"/>
      <c r="X17" s="48"/>
      <c r="Y17" s="46"/>
      <c r="Z17" s="43"/>
      <c r="AA17" s="41"/>
      <c r="AB17" s="41"/>
    </row>
    <row r="18" customFormat="false" ht="19.7" hidden="false" customHeight="false" outlineLevel="0" collapsed="false">
      <c r="A18" s="27"/>
      <c r="B18" s="27"/>
      <c r="C18" s="28"/>
      <c r="D18" s="29"/>
      <c r="E18" s="30"/>
      <c r="F18" s="31"/>
      <c r="G18" s="32"/>
      <c r="H18" s="33"/>
      <c r="I18" s="33"/>
      <c r="J18" s="34"/>
      <c r="K18" s="33"/>
      <c r="L18" s="35"/>
      <c r="M18" s="36" t="n">
        <f aca="false">SUM(C18,I18)</f>
        <v>0</v>
      </c>
      <c r="N18" s="37" t="n">
        <f aca="false">SUM(D18,J18)</f>
        <v>0</v>
      </c>
      <c r="O18" s="38"/>
      <c r="P18" s="39"/>
      <c r="Q18" s="39"/>
      <c r="R18" s="40"/>
      <c r="S18" s="41"/>
      <c r="T18" s="42"/>
      <c r="U18" s="43"/>
      <c r="V18" s="47"/>
      <c r="W18" s="36"/>
      <c r="X18" s="48"/>
      <c r="Y18" s="46"/>
      <c r="Z18" s="43"/>
      <c r="AA18" s="41"/>
      <c r="AB18" s="41"/>
    </row>
    <row r="19" customFormat="false" ht="19.7" hidden="false" customHeight="false" outlineLevel="0" collapsed="false">
      <c r="A19" s="27"/>
      <c r="B19" s="27"/>
      <c r="C19" s="28"/>
      <c r="D19" s="29"/>
      <c r="E19" s="30"/>
      <c r="F19" s="31"/>
      <c r="G19" s="32"/>
      <c r="H19" s="33"/>
      <c r="I19" s="33"/>
      <c r="J19" s="34"/>
      <c r="K19" s="33"/>
      <c r="L19" s="35"/>
      <c r="M19" s="36" t="n">
        <f aca="false">SUM(C19,I19)</f>
        <v>0</v>
      </c>
      <c r="N19" s="37" t="n">
        <f aca="false">SUM(D19,J19)</f>
        <v>0</v>
      </c>
      <c r="O19" s="38"/>
      <c r="P19" s="39"/>
      <c r="Q19" s="39"/>
      <c r="R19" s="40"/>
      <c r="S19" s="41"/>
      <c r="T19" s="42"/>
      <c r="U19" s="43"/>
      <c r="V19" s="47"/>
      <c r="W19" s="36"/>
      <c r="X19" s="48"/>
      <c r="Y19" s="46"/>
      <c r="Z19" s="43"/>
      <c r="AA19" s="41"/>
      <c r="AB19" s="41"/>
    </row>
    <row r="20" customFormat="false" ht="19.7" hidden="false" customHeight="false" outlineLevel="0" collapsed="false">
      <c r="A20" s="27"/>
      <c r="B20" s="27"/>
      <c r="C20" s="28"/>
      <c r="D20" s="29"/>
      <c r="E20" s="30"/>
      <c r="F20" s="31"/>
      <c r="G20" s="32"/>
      <c r="H20" s="33"/>
      <c r="I20" s="33"/>
      <c r="J20" s="34"/>
      <c r="K20" s="33"/>
      <c r="L20" s="35"/>
      <c r="M20" s="36" t="n">
        <f aca="false">SUM(C20,I20)</f>
        <v>0</v>
      </c>
      <c r="N20" s="37" t="n">
        <f aca="false">SUM(D20,J20)</f>
        <v>0</v>
      </c>
      <c r="O20" s="38"/>
      <c r="P20" s="39"/>
      <c r="Q20" s="39"/>
      <c r="R20" s="40"/>
      <c r="S20" s="41"/>
      <c r="T20" s="42"/>
      <c r="U20" s="43"/>
      <c r="V20" s="47"/>
      <c r="W20" s="36"/>
      <c r="X20" s="48"/>
      <c r="Y20" s="46"/>
      <c r="Z20" s="43"/>
      <c r="AA20" s="41"/>
      <c r="AB20" s="41"/>
    </row>
    <row r="21" customFormat="false" ht="19.7" hidden="false" customHeight="false" outlineLevel="0" collapsed="false">
      <c r="A21" s="27"/>
      <c r="B21" s="27"/>
      <c r="C21" s="28"/>
      <c r="D21" s="29"/>
      <c r="E21" s="30"/>
      <c r="F21" s="31"/>
      <c r="G21" s="32"/>
      <c r="H21" s="33"/>
      <c r="I21" s="33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38"/>
      <c r="P21" s="39"/>
      <c r="Q21" s="39"/>
      <c r="R21" s="40"/>
      <c r="S21" s="41"/>
      <c r="T21" s="42"/>
      <c r="U21" s="43"/>
      <c r="V21" s="47"/>
      <c r="W21" s="36"/>
      <c r="X21" s="48"/>
      <c r="Y21" s="46"/>
      <c r="Z21" s="43"/>
      <c r="AA21" s="41"/>
      <c r="AB21" s="41"/>
    </row>
    <row r="22" customFormat="false" ht="19.7" hidden="false" customHeight="false" outlineLevel="0" collapsed="false">
      <c r="A22" s="27"/>
      <c r="B22" s="27"/>
      <c r="C22" s="28"/>
      <c r="D22" s="29"/>
      <c r="E22" s="30"/>
      <c r="F22" s="31"/>
      <c r="G22" s="32"/>
      <c r="H22" s="33"/>
      <c r="I22" s="33"/>
      <c r="J22" s="34"/>
      <c r="K22" s="33"/>
      <c r="L22" s="35"/>
      <c r="M22" s="36" t="n">
        <f aca="false">SUM(C22,I22)</f>
        <v>0</v>
      </c>
      <c r="N22" s="37" t="n">
        <f aca="false">SUM(D22,J22)</f>
        <v>0</v>
      </c>
      <c r="O22" s="38"/>
      <c r="P22" s="39"/>
      <c r="Q22" s="39"/>
      <c r="R22" s="40"/>
      <c r="S22" s="41"/>
      <c r="T22" s="42"/>
      <c r="U22" s="43"/>
      <c r="V22" s="47"/>
      <c r="W22" s="36"/>
      <c r="X22" s="48"/>
      <c r="Y22" s="46"/>
      <c r="Z22" s="43"/>
      <c r="AA22" s="41"/>
      <c r="AB22" s="41"/>
    </row>
    <row r="23" customFormat="false" ht="19.7" hidden="false" customHeight="false" outlineLevel="0" collapsed="false">
      <c r="A23" s="27"/>
      <c r="B23" s="27"/>
      <c r="C23" s="28"/>
      <c r="D23" s="29"/>
      <c r="E23" s="30"/>
      <c r="F23" s="31"/>
      <c r="G23" s="32"/>
      <c r="H23" s="33"/>
      <c r="I23" s="33"/>
      <c r="J23" s="34"/>
      <c r="K23" s="33"/>
      <c r="L23" s="35"/>
      <c r="M23" s="36" t="n">
        <f aca="false">SUM(C23,I23)</f>
        <v>0</v>
      </c>
      <c r="N23" s="37" t="n">
        <f aca="false">SUM(D23,J23)</f>
        <v>0</v>
      </c>
      <c r="O23" s="38"/>
      <c r="P23" s="39"/>
      <c r="Q23" s="39"/>
      <c r="R23" s="40"/>
      <c r="S23" s="41"/>
      <c r="T23" s="42"/>
      <c r="U23" s="43"/>
      <c r="V23" s="47"/>
      <c r="W23" s="36"/>
      <c r="X23" s="48"/>
      <c r="Y23" s="46"/>
      <c r="Z23" s="43"/>
      <c r="AA23" s="41"/>
      <c r="AB23" s="41"/>
    </row>
    <row r="24" customFormat="false" ht="19.7" hidden="false" customHeight="false" outlineLevel="0" collapsed="false">
      <c r="A24" s="27"/>
      <c r="B24" s="27"/>
      <c r="C24" s="28"/>
      <c r="D24" s="29"/>
      <c r="E24" s="30"/>
      <c r="F24" s="31"/>
      <c r="G24" s="32"/>
      <c r="H24" s="33"/>
      <c r="I24" s="33"/>
      <c r="J24" s="34"/>
      <c r="K24" s="33"/>
      <c r="L24" s="35"/>
      <c r="M24" s="36" t="n">
        <f aca="false">SUM(C24,I24)</f>
        <v>0</v>
      </c>
      <c r="N24" s="37" t="n">
        <f aca="false">SUM(D24,J24)</f>
        <v>0</v>
      </c>
      <c r="O24" s="38"/>
      <c r="P24" s="39"/>
      <c r="Q24" s="39"/>
      <c r="R24" s="40"/>
      <c r="S24" s="41"/>
      <c r="T24" s="42"/>
      <c r="U24" s="43"/>
      <c r="V24" s="47"/>
      <c r="W24" s="36"/>
      <c r="X24" s="48"/>
      <c r="Y24" s="46"/>
      <c r="Z24" s="43"/>
      <c r="AA24" s="41"/>
      <c r="AB24" s="41"/>
    </row>
    <row r="25" customFormat="false" ht="19.7" hidden="false" customHeight="false" outlineLevel="0" collapsed="false">
      <c r="A25" s="27"/>
      <c r="B25" s="27"/>
      <c r="C25" s="28"/>
      <c r="D25" s="29"/>
      <c r="E25" s="30"/>
      <c r="F25" s="31"/>
      <c r="G25" s="32"/>
      <c r="H25" s="33"/>
      <c r="I25" s="33"/>
      <c r="J25" s="34"/>
      <c r="K25" s="33"/>
      <c r="L25" s="35"/>
      <c r="M25" s="36" t="n">
        <f aca="false">SUM(C25,I25)</f>
        <v>0</v>
      </c>
      <c r="N25" s="37" t="n">
        <f aca="false">SUM(D25,J25)</f>
        <v>0</v>
      </c>
      <c r="O25" s="38"/>
      <c r="P25" s="39"/>
      <c r="Q25" s="39"/>
      <c r="R25" s="40"/>
      <c r="S25" s="41"/>
      <c r="T25" s="42"/>
      <c r="U25" s="43"/>
      <c r="V25" s="47"/>
      <c r="W25" s="36"/>
      <c r="X25" s="48"/>
      <c r="Y25" s="46"/>
      <c r="Z25" s="43"/>
      <c r="AA25" s="41"/>
      <c r="AB25" s="41"/>
    </row>
    <row r="26" customFormat="false" ht="19.7" hidden="false" customHeight="false" outlineLevel="0" collapsed="false">
      <c r="A26" s="27"/>
      <c r="B26" s="27"/>
      <c r="C26" s="28"/>
      <c r="D26" s="29"/>
      <c r="E26" s="30"/>
      <c r="F26" s="31"/>
      <c r="G26" s="32"/>
      <c r="H26" s="33"/>
      <c r="I26" s="33"/>
      <c r="J26" s="34"/>
      <c r="K26" s="33"/>
      <c r="L26" s="35"/>
      <c r="M26" s="36" t="n">
        <f aca="false">SUM(C26,I26)</f>
        <v>0</v>
      </c>
      <c r="N26" s="37" t="n">
        <f aca="false">SUM(D26,J26)</f>
        <v>0</v>
      </c>
      <c r="O26" s="38"/>
      <c r="P26" s="39"/>
      <c r="Q26" s="39"/>
      <c r="R26" s="40"/>
      <c r="S26" s="41"/>
      <c r="T26" s="42"/>
      <c r="U26" s="43" t="e">
        <f aca="false">#REF!</f>
        <v>#REF!</v>
      </c>
      <c r="V26" s="44" t="n">
        <f aca="false">R26</f>
        <v>0</v>
      </c>
      <c r="W26" s="36" t="n">
        <f aca="false">SUM(M26,Q26)</f>
        <v>0</v>
      </c>
      <c r="X26" s="45" t="n">
        <f aca="false">SUM(N26,R26)</f>
        <v>0</v>
      </c>
      <c r="Y26" s="46"/>
      <c r="Z26" s="43"/>
      <c r="AA26" s="41"/>
      <c r="AB26" s="41"/>
    </row>
    <row r="27" customFormat="false" ht="19.7" hidden="false" customHeight="false" outlineLevel="0" collapsed="false">
      <c r="A27" s="27"/>
      <c r="B27" s="27"/>
      <c r="C27" s="28"/>
      <c r="D27" s="29"/>
      <c r="E27" s="30"/>
      <c r="F27" s="31"/>
      <c r="G27" s="32"/>
      <c r="H27" s="33"/>
      <c r="I27" s="33"/>
      <c r="J27" s="34"/>
      <c r="K27" s="33"/>
      <c r="L27" s="35"/>
      <c r="M27" s="36" t="n">
        <f aca="false">SUM(C27,I27)</f>
        <v>0</v>
      </c>
      <c r="N27" s="37" t="n">
        <f aca="false">SUM(D27,J27)</f>
        <v>0</v>
      </c>
      <c r="O27" s="38"/>
      <c r="P27" s="39"/>
      <c r="Q27" s="39"/>
      <c r="R27" s="40"/>
      <c r="S27" s="41"/>
      <c r="T27" s="42"/>
      <c r="U27" s="43" t="e">
        <f aca="false">#REF!</f>
        <v>#REF!</v>
      </c>
      <c r="V27" s="44" t="n">
        <f aca="false">R27</f>
        <v>0</v>
      </c>
      <c r="W27" s="36" t="n">
        <f aca="false">SUM(M27,Q27)</f>
        <v>0</v>
      </c>
      <c r="X27" s="45" t="n">
        <f aca="false">SUM(N27,R27)</f>
        <v>0</v>
      </c>
      <c r="Y27" s="46"/>
      <c r="Z27" s="43"/>
      <c r="AA27" s="41"/>
      <c r="AB27" s="41"/>
    </row>
    <row r="28" customFormat="false" ht="19.7" hidden="false" customHeight="false" outlineLevel="0" collapsed="false">
      <c r="A28" s="27"/>
      <c r="B28" s="27"/>
      <c r="C28" s="28"/>
      <c r="D28" s="29"/>
      <c r="E28" s="30"/>
      <c r="F28" s="31"/>
      <c r="G28" s="32"/>
      <c r="H28" s="33"/>
      <c r="I28" s="33"/>
      <c r="J28" s="34"/>
      <c r="K28" s="33"/>
      <c r="L28" s="35"/>
      <c r="M28" s="36" t="n">
        <f aca="false">SUM(C28,I28)</f>
        <v>0</v>
      </c>
      <c r="N28" s="37" t="n">
        <f aca="false">SUM(D28,J28)</f>
        <v>0</v>
      </c>
      <c r="O28" s="38"/>
      <c r="P28" s="39"/>
      <c r="Q28" s="39"/>
      <c r="R28" s="40"/>
      <c r="S28" s="41"/>
      <c r="T28" s="42"/>
      <c r="U28" s="43" t="e">
        <f aca="false">#REF!</f>
        <v>#REF!</v>
      </c>
      <c r="V28" s="44" t="n">
        <f aca="false">R28</f>
        <v>0</v>
      </c>
      <c r="W28" s="36" t="n">
        <f aca="false">SUM(M28,Q28)</f>
        <v>0</v>
      </c>
      <c r="X28" s="45" t="n">
        <f aca="false">SUM(N28,R28)</f>
        <v>0</v>
      </c>
      <c r="Y28" s="46"/>
      <c r="Z28" s="43"/>
      <c r="AA28" s="41"/>
      <c r="AB28" s="41"/>
    </row>
    <row r="29" customFormat="false" ht="19.7" hidden="false" customHeight="false" outlineLevel="0" collapsed="false">
      <c r="A29" s="27"/>
      <c r="B29" s="27"/>
      <c r="C29" s="28"/>
      <c r="D29" s="29"/>
      <c r="E29" s="30"/>
      <c r="F29" s="31"/>
      <c r="G29" s="32"/>
      <c r="H29" s="33"/>
      <c r="I29" s="33"/>
      <c r="J29" s="34"/>
      <c r="K29" s="33"/>
      <c r="L29" s="35"/>
      <c r="M29" s="36" t="n">
        <f aca="false">SUM(C29,I29)</f>
        <v>0</v>
      </c>
      <c r="N29" s="37" t="n">
        <f aca="false">SUM(D29,J29)</f>
        <v>0</v>
      </c>
      <c r="O29" s="38"/>
      <c r="P29" s="39"/>
      <c r="Q29" s="39"/>
      <c r="R29" s="40"/>
      <c r="S29" s="41"/>
      <c r="T29" s="42"/>
      <c r="U29" s="43" t="e">
        <f aca="false">#REF!</f>
        <v>#REF!</v>
      </c>
      <c r="V29" s="44" t="n">
        <f aca="false">R29</f>
        <v>0</v>
      </c>
      <c r="W29" s="36" t="n">
        <f aca="false">SUM(M29,Q29)</f>
        <v>0</v>
      </c>
      <c r="X29" s="45" t="n">
        <f aca="false">SUM(N29,R29)</f>
        <v>0</v>
      </c>
      <c r="Y29" s="49"/>
      <c r="Z29" s="43"/>
      <c r="AA29" s="41"/>
      <c r="AB29" s="41"/>
    </row>
    <row r="30" customFormat="false" ht="19.7" hidden="false" customHeight="false" outlineLevel="0" collapsed="false">
      <c r="A30" s="27"/>
      <c r="B30" s="27"/>
      <c r="C30" s="28"/>
      <c r="D30" s="29"/>
      <c r="E30" s="30"/>
      <c r="F30" s="31"/>
      <c r="G30" s="32"/>
      <c r="H30" s="33"/>
      <c r="I30" s="33"/>
      <c r="J30" s="34"/>
      <c r="K30" s="33"/>
      <c r="L30" s="35"/>
      <c r="M30" s="36" t="n">
        <f aca="false">SUM(C30,I30)</f>
        <v>0</v>
      </c>
      <c r="N30" s="37" t="n">
        <f aca="false">SUM(D30,J30)</f>
        <v>0</v>
      </c>
      <c r="O30" s="38"/>
      <c r="P30" s="39"/>
      <c r="Q30" s="39"/>
      <c r="R30" s="40"/>
      <c r="S30" s="41"/>
      <c r="T30" s="42"/>
      <c r="U30" s="43" t="e">
        <f aca="false">#REF!</f>
        <v>#REF!</v>
      </c>
      <c r="V30" s="44" t="n">
        <f aca="false">R30</f>
        <v>0</v>
      </c>
      <c r="W30" s="36" t="n">
        <f aca="false">SUM(M30,Q30)</f>
        <v>0</v>
      </c>
      <c r="X30" s="45" t="n">
        <f aca="false">SUM(N30,R30)</f>
        <v>0</v>
      </c>
      <c r="Y30" s="46"/>
      <c r="Z30" s="43"/>
      <c r="AA30" s="41"/>
      <c r="AB30" s="41"/>
    </row>
    <row r="31" customFormat="false" ht="19.7" hidden="false" customHeight="false" outlineLevel="0" collapsed="false">
      <c r="A31" s="27"/>
      <c r="B31" s="27"/>
      <c r="C31" s="28"/>
      <c r="D31" s="29"/>
      <c r="E31" s="30"/>
      <c r="F31" s="31"/>
      <c r="G31" s="33"/>
      <c r="H31" s="33"/>
      <c r="I31" s="33"/>
      <c r="J31" s="34"/>
      <c r="K31" s="33"/>
      <c r="L31" s="35"/>
      <c r="M31" s="36" t="n">
        <f aca="false">SUM(C31,I31)</f>
        <v>0</v>
      </c>
      <c r="N31" s="37" t="n">
        <f aca="false">SUM(D31,J31)</f>
        <v>0</v>
      </c>
      <c r="O31" s="39"/>
      <c r="P31" s="39"/>
      <c r="Q31" s="39"/>
      <c r="R31" s="40"/>
      <c r="S31" s="41"/>
      <c r="T31" s="42"/>
      <c r="U31" s="43" t="e">
        <f aca="false">#REF!</f>
        <v>#REF!</v>
      </c>
      <c r="V31" s="44" t="n">
        <f aca="false">R31</f>
        <v>0</v>
      </c>
      <c r="W31" s="36" t="n">
        <f aca="false">SUM(M31,Q31)</f>
        <v>0</v>
      </c>
      <c r="X31" s="45" t="n">
        <f aca="false">SUM(N31,R31)</f>
        <v>0</v>
      </c>
      <c r="Y31" s="49"/>
      <c r="Z31" s="43"/>
      <c r="AA31" s="41"/>
      <c r="AB31" s="41"/>
    </row>
    <row r="32" customFormat="false" ht="19.7" hidden="false" customHeight="false" outlineLevel="0" collapsed="false">
      <c r="A32" s="27"/>
      <c r="B32" s="27"/>
      <c r="C32" s="28"/>
      <c r="D32" s="29"/>
      <c r="E32" s="30"/>
      <c r="F32" s="31"/>
      <c r="G32" s="33"/>
      <c r="H32" s="33"/>
      <c r="I32" s="33"/>
      <c r="J32" s="34"/>
      <c r="K32" s="33"/>
      <c r="L32" s="35"/>
      <c r="M32" s="36" t="n">
        <f aca="false">SUM(C32,I32)</f>
        <v>0</v>
      </c>
      <c r="N32" s="37" t="n">
        <f aca="false">SUM(D32,J32)</f>
        <v>0</v>
      </c>
      <c r="O32" s="39"/>
      <c r="P32" s="39"/>
      <c r="Q32" s="39"/>
      <c r="R32" s="40"/>
      <c r="S32" s="41"/>
      <c r="T32" s="42"/>
      <c r="U32" s="43" t="e">
        <f aca="false">#REF!</f>
        <v>#REF!</v>
      </c>
      <c r="V32" s="44" t="n">
        <f aca="false">R32</f>
        <v>0</v>
      </c>
      <c r="W32" s="36" t="n">
        <f aca="false">SUM(M32,Q32)</f>
        <v>0</v>
      </c>
      <c r="X32" s="45" t="n">
        <f aca="false">SUM(N32,R32)</f>
        <v>0</v>
      </c>
      <c r="Y32" s="46"/>
      <c r="Z32" s="43"/>
      <c r="AA32" s="41"/>
      <c r="AB32" s="41"/>
    </row>
    <row r="33" customFormat="false" ht="19.7" hidden="false" customHeight="false" outlineLevel="0" collapsed="false">
      <c r="A33" s="27"/>
      <c r="B33" s="27"/>
      <c r="C33" s="28"/>
      <c r="D33" s="29"/>
      <c r="E33" s="30"/>
      <c r="F33" s="31"/>
      <c r="G33" s="32"/>
      <c r="H33" s="32"/>
      <c r="I33" s="33"/>
      <c r="J33" s="34"/>
      <c r="K33" s="33"/>
      <c r="L33" s="35"/>
      <c r="M33" s="36" t="n">
        <f aca="false">SUM(C33,I33)</f>
        <v>0</v>
      </c>
      <c r="N33" s="37" t="n">
        <f aca="false">SUM(D33,J33)</f>
        <v>0</v>
      </c>
      <c r="O33" s="39"/>
      <c r="P33" s="39"/>
      <c r="Q33" s="39"/>
      <c r="R33" s="40"/>
      <c r="S33" s="41"/>
      <c r="T33" s="42"/>
      <c r="U33" s="43" t="e">
        <f aca="false">#REF!</f>
        <v>#REF!</v>
      </c>
      <c r="V33" s="44" t="n">
        <f aca="false">R33</f>
        <v>0</v>
      </c>
      <c r="W33" s="36" t="n">
        <f aca="false">SUM(M33,Q33)</f>
        <v>0</v>
      </c>
      <c r="X33" s="45" t="n">
        <f aca="false">SUM(N33,R33)</f>
        <v>0</v>
      </c>
      <c r="Y33" s="46"/>
      <c r="Z33" s="43"/>
      <c r="AA33" s="41"/>
      <c r="AB33" s="41"/>
    </row>
    <row r="34" customFormat="false" ht="19.7" hidden="false" customHeight="false" outlineLevel="0" collapsed="false">
      <c r="A34" s="27"/>
      <c r="B34" s="27"/>
      <c r="C34" s="28"/>
      <c r="D34" s="29"/>
      <c r="E34" s="30"/>
      <c r="F34" s="31"/>
      <c r="G34" s="32"/>
      <c r="H34" s="32"/>
      <c r="I34" s="33"/>
      <c r="J34" s="34"/>
      <c r="K34" s="33"/>
      <c r="L34" s="35"/>
      <c r="M34" s="36" t="n">
        <f aca="false">SUM(C34,I34)</f>
        <v>0</v>
      </c>
      <c r="N34" s="37" t="n">
        <f aca="false">SUM(D34,J34)</f>
        <v>0</v>
      </c>
      <c r="O34" s="39"/>
      <c r="P34" s="39"/>
      <c r="Q34" s="39"/>
      <c r="R34" s="40"/>
      <c r="S34" s="41"/>
      <c r="T34" s="42"/>
      <c r="U34" s="43" t="e">
        <f aca="false">#REF!</f>
        <v>#REF!</v>
      </c>
      <c r="V34" s="44" t="n">
        <f aca="false">R34</f>
        <v>0</v>
      </c>
      <c r="W34" s="36" t="n">
        <f aca="false">SUM(M34,Q34)</f>
        <v>0</v>
      </c>
      <c r="X34" s="45" t="n">
        <f aca="false">SUM(N34,R34)</f>
        <v>0</v>
      </c>
      <c r="Y34" s="46"/>
      <c r="Z34" s="43"/>
      <c r="AA34" s="41"/>
      <c r="AB34" s="41"/>
    </row>
    <row r="35" customFormat="false" ht="19.7" hidden="false" customHeight="false" outlineLevel="0" collapsed="false">
      <c r="A35" s="27"/>
      <c r="B35" s="27"/>
      <c r="C35" s="28"/>
      <c r="D35" s="29"/>
      <c r="E35" s="30"/>
      <c r="F35" s="31"/>
      <c r="G35" s="32"/>
      <c r="H35" s="50"/>
      <c r="I35" s="33"/>
      <c r="J35" s="34"/>
      <c r="K35" s="33"/>
      <c r="L35" s="35"/>
      <c r="M35" s="36" t="n">
        <f aca="false">SUM(C35,I35)</f>
        <v>0</v>
      </c>
      <c r="N35" s="37" t="n">
        <f aca="false">SUM(D35,J35)</f>
        <v>0</v>
      </c>
      <c r="O35" s="51"/>
      <c r="P35" s="39"/>
      <c r="Q35" s="39"/>
      <c r="R35" s="40"/>
      <c r="S35" s="41"/>
      <c r="T35" s="42"/>
      <c r="U35" s="43"/>
      <c r="V35" s="47"/>
      <c r="W35" s="36"/>
      <c r="X35" s="48"/>
      <c r="Y35" s="46"/>
      <c r="Z35" s="43"/>
      <c r="AA35" s="41"/>
      <c r="AB35" s="41"/>
    </row>
    <row r="36" customFormat="false" ht="19.7" hidden="false" customHeight="false" outlineLevel="0" collapsed="false">
      <c r="A36" s="27"/>
      <c r="B36" s="27"/>
      <c r="C36" s="28"/>
      <c r="D36" s="29"/>
      <c r="E36" s="30"/>
      <c r="F36" s="31"/>
      <c r="G36" s="32"/>
      <c r="H36" s="33"/>
      <c r="I36" s="33"/>
      <c r="J36" s="34"/>
      <c r="K36" s="33"/>
      <c r="L36" s="35"/>
      <c r="M36" s="36" t="n">
        <f aca="false">SUM(C36,I36)</f>
        <v>0</v>
      </c>
      <c r="N36" s="37" t="n">
        <f aca="false">SUM(D36,J36)</f>
        <v>0</v>
      </c>
      <c r="O36" s="38"/>
      <c r="P36" s="39"/>
      <c r="Q36" s="39"/>
      <c r="R36" s="40"/>
      <c r="S36" s="41"/>
      <c r="T36" s="42"/>
      <c r="U36" s="43" t="e">
        <f aca="false">#REF!</f>
        <v>#REF!</v>
      </c>
      <c r="V36" s="44" t="n">
        <f aca="false">R36</f>
        <v>0</v>
      </c>
      <c r="W36" s="36" t="n">
        <f aca="false">SUM(M36,Q36)</f>
        <v>0</v>
      </c>
      <c r="X36" s="45" t="n">
        <f aca="false">SUM(N36,R36)</f>
        <v>0</v>
      </c>
      <c r="Y36" s="46"/>
      <c r="Z36" s="43"/>
      <c r="AA36" s="41"/>
      <c r="AB36" s="41"/>
    </row>
    <row r="37" customFormat="false" ht="19.7" hidden="false" customHeight="false" outlineLevel="0" collapsed="false">
      <c r="A37" s="52" t="s">
        <v>23</v>
      </c>
      <c r="B37" s="52" t="s"/>
      <c r="C37" s="53" t="n">
        <f aca="false">SUM(C6:C36)</f>
        <v>0</v>
      </c>
      <c r="D37" s="54" t="n">
        <f aca="false">SUM(D6:D36)</f>
        <v>0</v>
      </c>
      <c r="E37" s="55" t="n">
        <f aca="false">SUM(E6:E36)</f>
        <v>0</v>
      </c>
      <c r="F37" s="56" t="n">
        <f aca="false">SUM(F6:F36)</f>
        <v>0</v>
      </c>
      <c r="G37" s="57" t="s">
        <v>23</v>
      </c>
      <c r="H37" s="57"/>
      <c r="I37" s="58" t="n">
        <f aca="false">SUM(I6:I36)</f>
        <v>0</v>
      </c>
      <c r="J37" s="54" t="n">
        <f aca="false">SUM(J6:J36)</f>
        <v>0</v>
      </c>
      <c r="K37" s="55" t="n">
        <f aca="false">SUM(K6:K36)</f>
        <v>0</v>
      </c>
      <c r="L37" s="56" t="n">
        <f aca="false">SUM(L6:L36)</f>
        <v>0</v>
      </c>
      <c r="M37" s="59" t="n">
        <f aca="false">SUM(M6:M36)</f>
        <v>0</v>
      </c>
      <c r="N37" s="60" t="n">
        <f aca="false">SUM(N6:N36)</f>
        <v>0</v>
      </c>
      <c r="O37" s="57" t="s">
        <v>23</v>
      </c>
      <c r="P37" s="57"/>
      <c r="Q37" s="61" t="n">
        <f aca="false">SUM(Q6:Q36)</f>
        <v>0</v>
      </c>
      <c r="R37" s="62" t="n">
        <f aca="false">SUM(R6:R36)</f>
        <v>0</v>
      </c>
      <c r="S37" s="55" t="n">
        <f aca="false">SUM(S6:S36)</f>
        <v>0</v>
      </c>
      <c r="T37" s="56" t="n">
        <f aca="false">SUM(T6:T36)</f>
        <v>0</v>
      </c>
      <c r="U37" s="63" t="e">
        <f aca="false">SUM(U6:U36)</f>
        <v>#REF!</v>
      </c>
      <c r="V37" s="64" t="n">
        <f aca="false">SUM(V6:V36)</f>
        <v>0</v>
      </c>
      <c r="W37" s="59" t="n">
        <f aca="false">SUM(W6:W36)</f>
        <v>0</v>
      </c>
      <c r="X37" s="65" t="n">
        <f aca="false">SUM(X6:X36)</f>
        <v>0</v>
      </c>
      <c r="Y37" s="66"/>
      <c r="Z37" s="67"/>
      <c r="AA37" s="67"/>
      <c r="AB37" s="67"/>
    </row>
    <row r="38" customFormat="false" ht="15.75" hidden="false" customHeight="false" outlineLevel="0" collapsed="false">
      <c r="A38" s="2"/>
      <c r="B38" s="2"/>
      <c r="C38" s="2"/>
      <c r="D38" s="68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69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3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69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3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69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3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69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3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69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3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69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3"/>
      <c r="R49" s="3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3"/>
      <c r="R50" s="3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3"/>
      <c r="R51" s="3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3"/>
      <c r="R52" s="3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3"/>
      <c r="R53" s="3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3"/>
      <c r="R54" s="3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3"/>
      <c r="R55" s="3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3"/>
      <c r="R56" s="3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3"/>
      <c r="R57" s="3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3"/>
      <c r="R58" s="3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customFormat="false" ht="15.75" hidden="false" customHeight="false" outlineLevel="0" collapsed="false">
      <c r="B999" s="2"/>
      <c r="C999" s="2"/>
      <c r="D999" s="2"/>
      <c r="E999" s="2"/>
      <c r="F999" s="2"/>
      <c r="G999" s="2"/>
      <c r="H999" s="2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customFormat="false" ht="15.75" hidden="false" customHeight="false" outlineLevel="0" collapsed="false">
      <c r="B1000" s="2"/>
      <c r="C1000" s="2"/>
      <c r="D1000" s="2"/>
      <c r="E1000" s="2"/>
      <c r="F1000" s="2"/>
      <c r="G1000" s="2"/>
      <c r="H1000" s="2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customFormat="false" ht="15.75" hidden="false" customHeight="false" outlineLevel="0" collapsed="false">
      <c r="B1001" s="2"/>
      <c r="C1001" s="2"/>
      <c r="D1001" s="2"/>
      <c r="E1001" s="2"/>
      <c r="F1001" s="2"/>
      <c r="G1001" s="2"/>
      <c r="H1001" s="2"/>
      <c r="I1001" s="3"/>
      <c r="J1001" s="3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customFormat="false" ht="15.75" hidden="false" customHeight="false" outlineLevel="0" collapsed="false">
      <c r="B1002" s="2"/>
      <c r="C1002" s="2"/>
      <c r="D1002" s="2"/>
      <c r="E1002" s="2"/>
      <c r="F1002" s="2"/>
      <c r="G1002" s="2"/>
      <c r="H1002" s="2"/>
      <c r="I1002" s="3"/>
      <c r="J1002" s="3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customFormat="false" ht="15.75" hidden="false" customHeight="false" outlineLevel="0" collapsed="false">
      <c r="B1003" s="2"/>
      <c r="C1003" s="2"/>
      <c r="D1003" s="2"/>
      <c r="E1003" s="2"/>
      <c r="F1003" s="2"/>
      <c r="G1003" s="2"/>
      <c r="H1003" s="2"/>
      <c r="I1003" s="3"/>
      <c r="J1003" s="3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customFormat="false" ht="15.75" hidden="false" customHeight="false" outlineLevel="0" collapsed="false">
      <c r="B1004" s="2"/>
      <c r="C1004" s="2"/>
      <c r="D1004" s="2"/>
      <c r="E1004" s="2"/>
      <c r="F1004" s="2"/>
      <c r="G1004" s="2"/>
      <c r="H1004" s="2"/>
      <c r="I1004" s="3"/>
      <c r="J1004" s="3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customFormat="false" ht="15.75" hidden="false" customHeight="false" outlineLevel="0" collapsed="false">
      <c r="B1005" s="2"/>
      <c r="C1005" s="2"/>
      <c r="D1005" s="2"/>
      <c r="E1005" s="2"/>
      <c r="F1005" s="2"/>
      <c r="G1005" s="2"/>
      <c r="H1005" s="2"/>
      <c r="I1005" s="3"/>
      <c r="J1005" s="3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customFormat="false" ht="15.75" hidden="false" customHeight="false" outlineLevel="0" collapsed="false">
      <c r="B1006" s="2"/>
      <c r="C1006" s="2"/>
      <c r="D1006" s="2"/>
      <c r="E1006" s="2"/>
      <c r="F1006" s="2"/>
      <c r="G1006" s="2"/>
      <c r="H1006" s="2"/>
      <c r="I1006" s="3"/>
      <c r="J1006" s="3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customFormat="false" ht="15.75" hidden="false" customHeight="false" outlineLevel="0" collapsed="false">
      <c r="B1007" s="2"/>
      <c r="C1007" s="2"/>
      <c r="D1007" s="2"/>
      <c r="E1007" s="2"/>
      <c r="F1007" s="2"/>
      <c r="G1007" s="2"/>
      <c r="H1007" s="2"/>
      <c r="I1007" s="3"/>
      <c r="J1007" s="3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customFormat="false" ht="15.75" hidden="false" customHeight="false" outlineLevel="0" collapsed="false">
      <c r="B1008" s="2"/>
      <c r="C1008" s="2"/>
      <c r="D1008" s="2"/>
      <c r="E1008" s="2"/>
      <c r="F1008" s="2"/>
      <c r="G1008" s="2"/>
      <c r="H1008" s="2"/>
      <c r="I1008" s="3"/>
      <c r="J1008" s="3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37:H37"/>
    <mergeCell ref="O37:P3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outlinePr summaryBelow="0"/>
    <pageSetUpPr fitToPage="true"/>
  </sheetPr>
  <dimension ref="A1:AB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1" min="11" style="0" width="13.5"/>
    <col min="2" max="2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1" min="21" style="0" width="18.13"/>
    <col collapsed="false" customWidth="true" hidden="true" outlineLevel="0" max="22" min="22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1" t="s">
        <v>9</v>
      </c>
      <c r="AA3" s="12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1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1"/>
      <c r="AA5" s="11"/>
      <c r="AB5" s="11"/>
    </row>
    <row r="6" customFormat="false" ht="22.35" hidden="false" customHeight="false" outlineLevel="0" collapsed="false">
      <c r="A6" s="27" t="s">
        <v>24</v>
      </c>
      <c r="B6" s="27" t="s"/>
      <c r="C6" s="28" t="s">
        <v>22</v>
      </c>
      <c r="D6" s="29"/>
      <c r="E6" s="30"/>
      <c r="F6" s="31"/>
      <c r="G6" s="32" t="s">
        <v>22</v>
      </c>
      <c r="H6" s="33"/>
      <c r="I6" s="33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8" t="s">
        <v>22</v>
      </c>
      <c r="P6" s="39"/>
      <c r="Q6" s="39"/>
      <c r="R6" s="40"/>
      <c r="S6" s="41"/>
      <c r="T6" s="42"/>
      <c r="U6" s="43" t="e">
        <f aca="false">#REF!</f>
        <v>#REF!</v>
      </c>
      <c r="V6" s="44" t="n">
        <f aca="false">R6</f>
        <v>0</v>
      </c>
      <c r="W6" s="36" t="n">
        <f aca="false">SUM(M6,Q6)</f>
        <v>0</v>
      </c>
      <c r="X6" s="45" t="n">
        <f aca="false">SUM(N6,R6)</f>
        <v>0</v>
      </c>
      <c r="Y6" s="46"/>
      <c r="Z6" s="43" t="n">
        <v>1693</v>
      </c>
      <c r="AA6" s="41"/>
      <c r="AB6" s="41" t="s">
        <v>24</v>
      </c>
    </row>
    <row r="7" customFormat="false" ht="22.35" hidden="false" customHeight="false" outlineLevel="0" collapsed="false">
      <c r="A7" s="27" t="s">
        <v>25</v>
      </c>
      <c r="B7" s="27" t="s"/>
      <c r="C7" s="28" t="s">
        <v>22</v>
      </c>
      <c r="D7" s="29"/>
      <c r="E7" s="30"/>
      <c r="F7" s="31"/>
      <c r="G7" s="70" t="s">
        <v>26</v>
      </c>
      <c r="H7" s="33" t="s">
        <v>22</v>
      </c>
      <c r="I7" s="33" t="n">
        <v>1</v>
      </c>
      <c r="J7" s="34" t="n">
        <v>500</v>
      </c>
      <c r="K7" s="33"/>
      <c r="L7" s="35"/>
      <c r="M7" s="36" t="n">
        <f aca="false">SUM(C7,I7)</f>
        <v>1</v>
      </c>
      <c r="N7" s="37" t="n">
        <f aca="false">SUM(D7,J7)</f>
        <v>500</v>
      </c>
      <c r="O7" s="38" t="s">
        <v>22</v>
      </c>
      <c r="P7" s="39"/>
      <c r="Q7" s="39"/>
      <c r="R7" s="40"/>
      <c r="S7" s="41"/>
      <c r="T7" s="42"/>
      <c r="U7" s="43" t="e">
        <f aca="false">#REF!</f>
        <v>#REF!</v>
      </c>
      <c r="V7" s="44" t="n">
        <f aca="false">R7</f>
        <v>0</v>
      </c>
      <c r="W7" s="36" t="n">
        <f aca="false">SUM(M7,Q7)</f>
        <v>1</v>
      </c>
      <c r="X7" s="45" t="n">
        <f aca="false">SUM(N7,R7)</f>
        <v>500</v>
      </c>
      <c r="Y7" s="46"/>
      <c r="Z7" s="43" t="n">
        <v>1701</v>
      </c>
      <c r="AA7" s="41" t="n">
        <v>1702</v>
      </c>
      <c r="AB7" s="41" t="s">
        <v>25</v>
      </c>
    </row>
    <row r="8" customFormat="false" ht="22.35" hidden="false" customHeight="false" outlineLevel="0" collapsed="false">
      <c r="A8" s="27" t="s">
        <v>27</v>
      </c>
      <c r="B8" s="27" t="s"/>
      <c r="C8" s="28" t="n">
        <v>1</v>
      </c>
      <c r="D8" s="29" t="n">
        <v>1000</v>
      </c>
      <c r="E8" s="30"/>
      <c r="F8" s="31"/>
      <c r="G8" s="32" t="s">
        <v>22</v>
      </c>
      <c r="H8" s="33"/>
      <c r="I8" s="33"/>
      <c r="J8" s="34"/>
      <c r="K8" s="33"/>
      <c r="L8" s="35"/>
      <c r="M8" s="36" t="n">
        <f aca="false">SUM(C8,I8)</f>
        <v>1</v>
      </c>
      <c r="N8" s="37" t="n">
        <f aca="false">SUM(D8,J8)</f>
        <v>1000</v>
      </c>
      <c r="O8" s="38" t="s">
        <v>22</v>
      </c>
      <c r="P8" s="39"/>
      <c r="Q8" s="39"/>
      <c r="R8" s="40"/>
      <c r="S8" s="41"/>
      <c r="T8" s="42"/>
      <c r="U8" s="43" t="e">
        <f aca="false">#REF!</f>
        <v>#REF!</v>
      </c>
      <c r="V8" s="44" t="n">
        <f aca="false">R8</f>
        <v>0</v>
      </c>
      <c r="W8" s="36" t="n">
        <f aca="false">SUM(M8,Q8)</f>
        <v>1</v>
      </c>
      <c r="X8" s="45" t="n">
        <f aca="false">SUM(N8,R8)</f>
        <v>1000</v>
      </c>
      <c r="Y8" s="46"/>
      <c r="Z8" s="43" t="n">
        <v>1704</v>
      </c>
      <c r="AA8" s="41"/>
      <c r="AB8" s="41" t="s">
        <v>27</v>
      </c>
    </row>
    <row r="9" customFormat="false" ht="22.35" hidden="false" customHeight="false" outlineLevel="0" collapsed="false">
      <c r="A9" s="27" t="s">
        <v>28</v>
      </c>
      <c r="B9" s="27" t="s"/>
      <c r="C9" s="28" t="s">
        <v>22</v>
      </c>
      <c r="D9" s="29"/>
      <c r="E9" s="30"/>
      <c r="F9" s="31"/>
      <c r="G9" s="70" t="s">
        <v>29</v>
      </c>
      <c r="H9" s="71" t="s">
        <v>30</v>
      </c>
      <c r="I9" s="33" t="n">
        <v>3</v>
      </c>
      <c r="J9" s="34" t="n">
        <v>600</v>
      </c>
      <c r="K9" s="33"/>
      <c r="L9" s="35"/>
      <c r="M9" s="36" t="n">
        <f aca="false">SUM(C9,I9)</f>
        <v>3</v>
      </c>
      <c r="N9" s="37" t="n">
        <f aca="false">SUM(D9,J9)</f>
        <v>600</v>
      </c>
      <c r="O9" s="38" t="s">
        <v>22</v>
      </c>
      <c r="P9" s="39"/>
      <c r="Q9" s="39"/>
      <c r="R9" s="40"/>
      <c r="S9" s="41"/>
      <c r="T9" s="42"/>
      <c r="U9" s="43" t="e">
        <f aca="false">#REF!</f>
        <v>#REF!</v>
      </c>
      <c r="V9" s="44" t="n">
        <f aca="false">R9</f>
        <v>0</v>
      </c>
      <c r="W9" s="36" t="n">
        <f aca="false">SUM(M9,Q9)</f>
        <v>3</v>
      </c>
      <c r="X9" s="45" t="n">
        <f aca="false">SUM(N9,R9)</f>
        <v>600</v>
      </c>
      <c r="Y9" s="46"/>
      <c r="Z9" s="43" t="n">
        <v>1714</v>
      </c>
      <c r="AA9" s="41"/>
      <c r="AB9" s="41" t="s">
        <v>28</v>
      </c>
    </row>
    <row r="10" customFormat="false" ht="22.35" hidden="false" customHeight="false" outlineLevel="0" collapsed="false">
      <c r="A10" s="27" t="s">
        <v>31</v>
      </c>
      <c r="B10" s="27" t="s"/>
      <c r="C10" s="28" t="s">
        <v>22</v>
      </c>
      <c r="D10" s="29"/>
      <c r="E10" s="30"/>
      <c r="F10" s="31"/>
      <c r="G10" s="32" t="s">
        <v>22</v>
      </c>
      <c r="H10" s="33"/>
      <c r="I10" s="33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8" t="s">
        <v>22</v>
      </c>
      <c r="P10" s="39"/>
      <c r="Q10" s="39"/>
      <c r="R10" s="40"/>
      <c r="S10" s="41"/>
      <c r="T10" s="42"/>
      <c r="U10" s="43" t="e">
        <f aca="false">#REF!</f>
        <v>#REF!</v>
      </c>
      <c r="V10" s="44" t="n">
        <f aca="false">R10</f>
        <v>0</v>
      </c>
      <c r="W10" s="36" t="n">
        <f aca="false">SUM(M10,Q10)</f>
        <v>0</v>
      </c>
      <c r="X10" s="45" t="n">
        <f aca="false">SUM(N10,R10)</f>
        <v>0</v>
      </c>
      <c r="Y10" s="46"/>
      <c r="Z10" s="43" t="n">
        <v>1720</v>
      </c>
      <c r="AA10" s="41"/>
      <c r="AB10" s="41" t="s">
        <v>31</v>
      </c>
    </row>
    <row r="11" customFormat="false" ht="22.35" hidden="false" customHeight="false" outlineLevel="0" collapsed="false">
      <c r="A11" s="27" t="s">
        <v>32</v>
      </c>
      <c r="B11" s="27" t="s"/>
      <c r="C11" s="28" t="s">
        <v>22</v>
      </c>
      <c r="D11" s="29"/>
      <c r="E11" s="30"/>
      <c r="F11" s="31"/>
      <c r="G11" s="70" t="s">
        <v>33</v>
      </c>
      <c r="H11" s="33" t="s">
        <v>22</v>
      </c>
      <c r="I11" s="33" t="n">
        <v>1</v>
      </c>
      <c r="J11" s="34" t="n">
        <v>500</v>
      </c>
      <c r="K11" s="33"/>
      <c r="L11" s="35"/>
      <c r="M11" s="36" t="n">
        <f aca="false">SUM(C11,I11)</f>
        <v>1</v>
      </c>
      <c r="N11" s="37" t="n">
        <f aca="false">SUM(D11,J11)</f>
        <v>500</v>
      </c>
      <c r="O11" s="38" t="s">
        <v>22</v>
      </c>
      <c r="P11" s="39"/>
      <c r="Q11" s="39"/>
      <c r="R11" s="40"/>
      <c r="S11" s="41"/>
      <c r="T11" s="42"/>
      <c r="U11" s="43" t="e">
        <f aca="false">#REF!</f>
        <v>#REF!</v>
      </c>
      <c r="V11" s="44" t="n">
        <f aca="false">R11</f>
        <v>0</v>
      </c>
      <c r="W11" s="36" t="n">
        <f aca="false">SUM(M11,Q11)</f>
        <v>1</v>
      </c>
      <c r="X11" s="45" t="n">
        <f aca="false">SUM(N11,R11)</f>
        <v>500</v>
      </c>
      <c r="Y11" s="46"/>
      <c r="Z11" s="43" t="n">
        <v>1726</v>
      </c>
      <c r="AA11" s="41"/>
      <c r="AB11" s="41" t="s">
        <v>32</v>
      </c>
    </row>
    <row r="12" customFormat="false" ht="22.35" hidden="false" customHeight="false" outlineLevel="0" collapsed="false">
      <c r="A12" s="27" t="s">
        <v>34</v>
      </c>
      <c r="B12" s="27" t="s"/>
      <c r="C12" s="28" t="s">
        <v>22</v>
      </c>
      <c r="D12" s="29"/>
      <c r="E12" s="30"/>
      <c r="F12" s="31"/>
      <c r="G12" s="32" t="s">
        <v>22</v>
      </c>
      <c r="H12" s="33"/>
      <c r="I12" s="33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8" t="s">
        <v>22</v>
      </c>
      <c r="P12" s="39"/>
      <c r="Q12" s="39"/>
      <c r="R12" s="40"/>
      <c r="S12" s="41"/>
      <c r="T12" s="42"/>
      <c r="U12" s="43" t="e">
        <f aca="false">#REF!</f>
        <v>#REF!</v>
      </c>
      <c r="V12" s="44" t="n">
        <f aca="false">R12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 t="n">
        <v>1733</v>
      </c>
      <c r="AA12" s="41"/>
      <c r="AB12" s="41" t="s">
        <v>34</v>
      </c>
    </row>
    <row r="13" customFormat="false" ht="22.35" hidden="false" customHeight="false" outlineLevel="0" collapsed="false">
      <c r="A13" s="27" t="s">
        <v>35</v>
      </c>
      <c r="B13" s="27" t="s"/>
      <c r="C13" s="28" t="n">
        <v>12</v>
      </c>
      <c r="D13" s="29" t="n">
        <v>2400</v>
      </c>
      <c r="E13" s="30"/>
      <c r="F13" s="31"/>
      <c r="G13" s="70" t="s">
        <v>36</v>
      </c>
      <c r="H13" s="33" t="s">
        <v>22</v>
      </c>
      <c r="I13" s="33" t="n">
        <v>1</v>
      </c>
      <c r="J13" s="34" t="n">
        <v>500</v>
      </c>
      <c r="K13" s="33"/>
      <c r="L13" s="35"/>
      <c r="M13" s="36" t="n">
        <f aca="false">SUM(C13,I13)</f>
        <v>13</v>
      </c>
      <c r="N13" s="37" t="n">
        <f aca="false">SUM(D13,J13)</f>
        <v>2900</v>
      </c>
      <c r="O13" s="72" t="s">
        <v>37</v>
      </c>
      <c r="P13" s="39" t="s">
        <v>22</v>
      </c>
      <c r="Q13" s="39" t="n">
        <v>1</v>
      </c>
      <c r="R13" s="40" t="n">
        <v>31100</v>
      </c>
      <c r="S13" s="41"/>
      <c r="T13" s="42"/>
      <c r="U13" s="43" t="e">
        <f aca="false">#REF!</f>
        <v>#REF!</v>
      </c>
      <c r="V13" s="44" t="n">
        <f aca="false">R13</f>
        <v>31100</v>
      </c>
      <c r="W13" s="36" t="n">
        <f aca="false">SUM(M13,Q13)</f>
        <v>14</v>
      </c>
      <c r="X13" s="45" t="n">
        <f aca="false">SUM(N13,R13)</f>
        <v>34000</v>
      </c>
      <c r="Y13" s="46"/>
      <c r="Z13" s="43" t="n">
        <v>1739</v>
      </c>
      <c r="AA13" s="41" t="n">
        <v>1740</v>
      </c>
      <c r="AB13" s="41" t="s">
        <v>35</v>
      </c>
    </row>
    <row r="14" customFormat="false" ht="22.35" hidden="false" customHeight="false" outlineLevel="0" collapsed="false">
      <c r="A14" s="27" t="s">
        <v>38</v>
      </c>
      <c r="B14" s="27" t="s"/>
      <c r="C14" s="28" t="s">
        <v>22</v>
      </c>
      <c r="D14" s="29"/>
      <c r="E14" s="30"/>
      <c r="F14" s="31"/>
      <c r="G14" s="70" t="s">
        <v>39</v>
      </c>
      <c r="H14" s="33" t="s">
        <v>22</v>
      </c>
      <c r="I14" s="33" t="n">
        <v>1</v>
      </c>
      <c r="J14" s="34" t="n">
        <v>200</v>
      </c>
      <c r="K14" s="33"/>
      <c r="L14" s="35"/>
      <c r="M14" s="36" t="n">
        <f aca="false">SUM(C14,I14)</f>
        <v>1</v>
      </c>
      <c r="N14" s="37" t="n">
        <f aca="false">SUM(D14,J14)</f>
        <v>200</v>
      </c>
      <c r="O14" s="38" t="s">
        <v>22</v>
      </c>
      <c r="P14" s="39"/>
      <c r="Q14" s="39"/>
      <c r="R14" s="40"/>
      <c r="S14" s="41"/>
      <c r="T14" s="42"/>
      <c r="U14" s="43" t="e">
        <f aca="false">#REF!</f>
        <v>#REF!</v>
      </c>
      <c r="V14" s="44" t="n">
        <f aca="false">R14</f>
        <v>0</v>
      </c>
      <c r="W14" s="36" t="n">
        <f aca="false">SUM(M14,Q14)</f>
        <v>1</v>
      </c>
      <c r="X14" s="45" t="n">
        <f aca="false">SUM(N14,R14)</f>
        <v>200</v>
      </c>
      <c r="Y14" s="46"/>
      <c r="Z14" s="43" t="n">
        <v>1745</v>
      </c>
      <c r="AA14" s="41"/>
      <c r="AB14" s="41"/>
    </row>
    <row r="15" customFormat="false" ht="22.35" hidden="false" customHeight="false" outlineLevel="0" collapsed="false">
      <c r="A15" s="27" t="s">
        <v>40</v>
      </c>
      <c r="B15" s="27" t="s"/>
      <c r="C15" s="28" t="s">
        <v>22</v>
      </c>
      <c r="D15" s="29"/>
      <c r="E15" s="30"/>
      <c r="F15" s="31"/>
      <c r="G15" s="32" t="s">
        <v>22</v>
      </c>
      <c r="H15" s="33"/>
      <c r="I15" s="33"/>
      <c r="J15" s="34"/>
      <c r="K15" s="33"/>
      <c r="L15" s="35"/>
      <c r="M15" s="36" t="n">
        <f aca="false">SUM(C15,I15)</f>
        <v>0</v>
      </c>
      <c r="N15" s="37" t="n">
        <f aca="false">SUM(D15,J15)</f>
        <v>0</v>
      </c>
      <c r="O15" s="38" t="s">
        <v>22</v>
      </c>
      <c r="P15" s="39"/>
      <c r="Q15" s="39"/>
      <c r="R15" s="40"/>
      <c r="S15" s="41"/>
      <c r="T15" s="42"/>
      <c r="U15" s="43" t="e">
        <f aca="false">#REF!</f>
        <v>#REF!</v>
      </c>
      <c r="V15" s="44" t="n">
        <f aca="false">R15</f>
        <v>0</v>
      </c>
      <c r="W15" s="36" t="n">
        <f aca="false">SUM(M15,Q15)</f>
        <v>0</v>
      </c>
      <c r="X15" s="45" t="n">
        <f aca="false">SUM(N15,R15)</f>
        <v>0</v>
      </c>
      <c r="Y15" s="46"/>
      <c r="Z15" s="43" t="n">
        <v>1753</v>
      </c>
      <c r="AA15" s="41"/>
      <c r="AB15" s="41" t="s">
        <v>40</v>
      </c>
    </row>
    <row r="16" customFormat="false" ht="22.35" hidden="false" customHeight="false" outlineLevel="0" collapsed="false">
      <c r="A16" s="27" t="s">
        <v>41</v>
      </c>
      <c r="B16" s="27" t="s"/>
      <c r="C16" s="28" t="s">
        <v>22</v>
      </c>
      <c r="D16" s="29"/>
      <c r="E16" s="30"/>
      <c r="F16" s="31"/>
      <c r="G16" s="32" t="s">
        <v>22</v>
      </c>
      <c r="H16" s="33"/>
      <c r="I16" s="33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8" t="s">
        <v>22</v>
      </c>
      <c r="P16" s="39"/>
      <c r="Q16" s="39"/>
      <c r="R16" s="40"/>
      <c r="S16" s="41"/>
      <c r="T16" s="42"/>
      <c r="U16" s="43"/>
      <c r="V16" s="47"/>
      <c r="W16" s="36" t="n">
        <f aca="false">SUM(M16,Q16)</f>
        <v>0</v>
      </c>
      <c r="X16" s="45" t="n">
        <f aca="false">SUM(N16,R16)</f>
        <v>0</v>
      </c>
      <c r="Y16" s="46"/>
      <c r="Z16" s="43" t="n">
        <v>1760</v>
      </c>
      <c r="AA16" s="41"/>
      <c r="AB16" s="41" t="s">
        <v>41</v>
      </c>
    </row>
    <row r="17" customFormat="false" ht="22.35" hidden="false" customHeight="false" outlineLevel="0" collapsed="false">
      <c r="A17" s="27" t="s">
        <v>42</v>
      </c>
      <c r="B17" s="27" t="s"/>
      <c r="C17" s="28" t="s">
        <v>22</v>
      </c>
      <c r="D17" s="29"/>
      <c r="E17" s="30"/>
      <c r="F17" s="31"/>
      <c r="G17" s="32" t="s">
        <v>22</v>
      </c>
      <c r="H17" s="33"/>
      <c r="I17" s="33"/>
      <c r="J17" s="34"/>
      <c r="K17" s="33"/>
      <c r="L17" s="35"/>
      <c r="M17" s="36" t="n">
        <f aca="false">SUM(C17,I17)</f>
        <v>0</v>
      </c>
      <c r="N17" s="37" t="n">
        <f aca="false">SUM(D17,J17)</f>
        <v>0</v>
      </c>
      <c r="O17" s="72" t="s">
        <v>43</v>
      </c>
      <c r="P17" s="39" t="s">
        <v>22</v>
      </c>
      <c r="Q17" s="39" t="n">
        <v>1</v>
      </c>
      <c r="R17" s="40" t="n">
        <v>31100</v>
      </c>
      <c r="S17" s="41"/>
      <c r="T17" s="42"/>
      <c r="U17" s="43"/>
      <c r="V17" s="47"/>
      <c r="W17" s="36" t="n">
        <f aca="false">SUM(M17,Q17)</f>
        <v>1</v>
      </c>
      <c r="X17" s="45" t="n">
        <f aca="false">SUM(N17,R17)</f>
        <v>31100</v>
      </c>
      <c r="Y17" s="46"/>
      <c r="Z17" s="43" t="n">
        <v>1767</v>
      </c>
      <c r="AA17" s="41"/>
      <c r="AB17" s="41" t="s">
        <v>42</v>
      </c>
    </row>
    <row r="18" customFormat="false" ht="22.35" hidden="false" customHeight="false" outlineLevel="0" collapsed="false">
      <c r="A18" s="27" t="s">
        <v>44</v>
      </c>
      <c r="B18" s="27" t="s"/>
      <c r="C18" s="28" t="s">
        <v>22</v>
      </c>
      <c r="D18" s="29"/>
      <c r="E18" s="30"/>
      <c r="F18" s="31"/>
      <c r="G18" s="32" t="s">
        <v>22</v>
      </c>
      <c r="H18" s="33"/>
      <c r="I18" s="33"/>
      <c r="J18" s="34"/>
      <c r="K18" s="33"/>
      <c r="L18" s="35"/>
      <c r="M18" s="36" t="n">
        <f aca="false">SUM(C18,I18)</f>
        <v>0</v>
      </c>
      <c r="N18" s="37" t="n">
        <f aca="false">SUM(D18,J18)</f>
        <v>0</v>
      </c>
      <c r="O18" s="38" t="s">
        <v>22</v>
      </c>
      <c r="P18" s="39"/>
      <c r="Q18" s="39"/>
      <c r="R18" s="40"/>
      <c r="S18" s="41"/>
      <c r="T18" s="42"/>
      <c r="U18" s="43"/>
      <c r="V18" s="47"/>
      <c r="W18" s="36" t="n">
        <f aca="false">SUM(M18,Q18)</f>
        <v>0</v>
      </c>
      <c r="X18" s="45" t="n">
        <f aca="false">SUM(N18,R18)</f>
        <v>0</v>
      </c>
      <c r="Y18" s="46"/>
      <c r="Z18" s="43" t="n">
        <v>1773</v>
      </c>
      <c r="AA18" s="41"/>
      <c r="AB18" s="41" t="s">
        <v>44</v>
      </c>
    </row>
    <row r="19" customFormat="false" ht="22.35" hidden="false" customHeight="false" outlineLevel="0" collapsed="false">
      <c r="A19" s="27" t="s">
        <v>45</v>
      </c>
      <c r="B19" s="27" t="s"/>
      <c r="C19" s="28" t="s">
        <v>22</v>
      </c>
      <c r="D19" s="29"/>
      <c r="E19" s="30"/>
      <c r="F19" s="31"/>
      <c r="G19" s="70" t="s">
        <v>46</v>
      </c>
      <c r="H19" s="71" t="s">
        <v>47</v>
      </c>
      <c r="I19" s="33" t="n">
        <v>4</v>
      </c>
      <c r="J19" s="34" t="n">
        <v>6400</v>
      </c>
      <c r="K19" s="33"/>
      <c r="L19" s="35"/>
      <c r="M19" s="36" t="n">
        <f aca="false">SUM(C19,I19)</f>
        <v>4</v>
      </c>
      <c r="N19" s="37" t="n">
        <f aca="false">SUM(D19,J19)</f>
        <v>6400</v>
      </c>
      <c r="O19" s="38" t="s">
        <v>22</v>
      </c>
      <c r="P19" s="39"/>
      <c r="Q19" s="39"/>
      <c r="R19" s="40"/>
      <c r="S19" s="41"/>
      <c r="T19" s="42"/>
      <c r="U19" s="43"/>
      <c r="V19" s="47"/>
      <c r="W19" s="36" t="n">
        <f aca="false">SUM(M19,Q19)</f>
        <v>4</v>
      </c>
      <c r="X19" s="45" t="n">
        <f aca="false">SUM(N19,R19)</f>
        <v>6400</v>
      </c>
      <c r="Y19" s="46"/>
      <c r="Z19" s="43" t="n">
        <v>1779</v>
      </c>
      <c r="AA19" s="41"/>
      <c r="AB19" s="41" t="s">
        <v>45</v>
      </c>
    </row>
    <row r="20" customFormat="false" ht="22.35" hidden="false" customHeight="false" outlineLevel="0" collapsed="false">
      <c r="A20" s="27" t="s">
        <v>48</v>
      </c>
      <c r="B20" s="27" t="s"/>
      <c r="C20" s="28" t="s">
        <v>22</v>
      </c>
      <c r="D20" s="29"/>
      <c r="E20" s="30"/>
      <c r="F20" s="31"/>
      <c r="G20" s="70" t="s">
        <v>49</v>
      </c>
      <c r="H20" s="33" t="s">
        <v>22</v>
      </c>
      <c r="I20" s="33" t="n">
        <v>1</v>
      </c>
      <c r="J20" s="34" t="n">
        <v>500</v>
      </c>
      <c r="K20" s="33"/>
      <c r="L20" s="35"/>
      <c r="M20" s="36" t="n">
        <f aca="false">SUM(C20,I20)</f>
        <v>1</v>
      </c>
      <c r="N20" s="37" t="n">
        <f aca="false">SUM(D20,J20)</f>
        <v>500</v>
      </c>
      <c r="O20" s="38" t="s">
        <v>22</v>
      </c>
      <c r="P20" s="39"/>
      <c r="Q20" s="39"/>
      <c r="R20" s="40"/>
      <c r="S20" s="41"/>
      <c r="T20" s="42"/>
      <c r="U20" s="43"/>
      <c r="V20" s="47"/>
      <c r="W20" s="36" t="n">
        <f aca="false">SUM(M20,Q20)</f>
        <v>1</v>
      </c>
      <c r="X20" s="45" t="n">
        <f aca="false">SUM(N20,R20)</f>
        <v>500</v>
      </c>
      <c r="Y20" s="46"/>
      <c r="Z20" s="43" t="n">
        <v>1786</v>
      </c>
      <c r="AA20" s="41"/>
      <c r="AB20" s="41" t="s">
        <v>48</v>
      </c>
    </row>
    <row r="21" customFormat="false" ht="22.35" hidden="false" customHeight="false" outlineLevel="0" collapsed="false">
      <c r="A21" s="27" t="s">
        <v>50</v>
      </c>
      <c r="B21" s="27" t="s"/>
      <c r="C21" s="28" t="s">
        <v>22</v>
      </c>
      <c r="D21" s="29"/>
      <c r="E21" s="30"/>
      <c r="F21" s="31"/>
      <c r="G21" s="32" t="s">
        <v>22</v>
      </c>
      <c r="H21" s="33"/>
      <c r="I21" s="33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38" t="s">
        <v>22</v>
      </c>
      <c r="P21" s="39"/>
      <c r="Q21" s="39"/>
      <c r="R21" s="40"/>
      <c r="S21" s="41"/>
      <c r="T21" s="42"/>
      <c r="U21" s="43"/>
      <c r="V21" s="47"/>
      <c r="W21" s="36" t="n">
        <f aca="false">SUM(M21,Q21)</f>
        <v>0</v>
      </c>
      <c r="X21" s="45" t="n">
        <f aca="false">SUM(N21,R21)</f>
        <v>0</v>
      </c>
      <c r="Y21" s="46"/>
      <c r="Z21" s="43" t="n">
        <v>1793</v>
      </c>
      <c r="AA21" s="41"/>
      <c r="AB21" s="41" t="s">
        <v>50</v>
      </c>
    </row>
    <row r="22" customFormat="false" ht="22.35" hidden="false" customHeight="false" outlineLevel="0" collapsed="false">
      <c r="A22" s="27" t="s">
        <v>51</v>
      </c>
      <c r="B22" s="27" t="s"/>
      <c r="C22" s="28" t="s">
        <v>22</v>
      </c>
      <c r="D22" s="29"/>
      <c r="E22" s="30"/>
      <c r="F22" s="31"/>
      <c r="G22" s="32" t="s">
        <v>22</v>
      </c>
      <c r="H22" s="33"/>
      <c r="I22" s="33"/>
      <c r="J22" s="34"/>
      <c r="K22" s="33"/>
      <c r="L22" s="35"/>
      <c r="M22" s="36" t="n">
        <f aca="false">SUM(C22,I22)</f>
        <v>0</v>
      </c>
      <c r="N22" s="37" t="n">
        <f aca="false">SUM(D22,J22)</f>
        <v>0</v>
      </c>
      <c r="O22" s="38" t="s">
        <v>22</v>
      </c>
      <c r="P22" s="39"/>
      <c r="Q22" s="39"/>
      <c r="R22" s="40"/>
      <c r="S22" s="41"/>
      <c r="T22" s="42"/>
      <c r="U22" s="43"/>
      <c r="V22" s="47"/>
      <c r="W22" s="36" t="n">
        <f aca="false">SUM(M22,Q22)</f>
        <v>0</v>
      </c>
      <c r="X22" s="45" t="n">
        <f aca="false">SUM(N22,R22)</f>
        <v>0</v>
      </c>
      <c r="Y22" s="46"/>
      <c r="Z22" s="43" t="n">
        <v>1801</v>
      </c>
      <c r="AA22" s="41"/>
      <c r="AB22" s="41" t="s">
        <v>51</v>
      </c>
    </row>
    <row r="23" customFormat="false" ht="22.35" hidden="false" customHeight="false" outlineLevel="0" collapsed="false">
      <c r="A23" s="27" t="s">
        <v>52</v>
      </c>
      <c r="B23" s="27" t="s"/>
      <c r="C23" s="28" t="s">
        <v>22</v>
      </c>
      <c r="D23" s="29"/>
      <c r="E23" s="30"/>
      <c r="F23" s="31"/>
      <c r="G23" s="70" t="s">
        <v>53</v>
      </c>
      <c r="H23" s="33" t="s">
        <v>22</v>
      </c>
      <c r="I23" s="33" t="n">
        <v>1</v>
      </c>
      <c r="J23" s="34" t="n">
        <v>200</v>
      </c>
      <c r="K23" s="33"/>
      <c r="L23" s="35"/>
      <c r="M23" s="36" t="n">
        <f aca="false">SUM(C23,I23)</f>
        <v>1</v>
      </c>
      <c r="N23" s="37" t="n">
        <f aca="false">SUM(D23,J23)</f>
        <v>200</v>
      </c>
      <c r="O23" s="38" t="s">
        <v>22</v>
      </c>
      <c r="P23" s="39"/>
      <c r="Q23" s="39"/>
      <c r="R23" s="40"/>
      <c r="S23" s="41"/>
      <c r="T23" s="42"/>
      <c r="U23" s="43"/>
      <c r="V23" s="47"/>
      <c r="W23" s="36" t="n">
        <f aca="false">SUM(M23,Q23)</f>
        <v>1</v>
      </c>
      <c r="X23" s="45" t="n">
        <f aca="false">SUM(N23,R23)</f>
        <v>200</v>
      </c>
      <c r="Y23" s="46"/>
      <c r="Z23" s="43" t="n">
        <v>1807</v>
      </c>
      <c r="AA23" s="41"/>
      <c r="AB23" s="41" t="s">
        <v>52</v>
      </c>
    </row>
    <row r="24" customFormat="false" ht="22.35" hidden="false" customHeight="false" outlineLevel="0" collapsed="false">
      <c r="A24" s="27" t="s">
        <v>54</v>
      </c>
      <c r="B24" s="27" t="s"/>
      <c r="C24" s="28" t="s">
        <v>22</v>
      </c>
      <c r="D24" s="29"/>
      <c r="E24" s="30"/>
      <c r="F24" s="31"/>
      <c r="G24" s="70" t="s">
        <v>55</v>
      </c>
      <c r="H24" s="33" t="s">
        <v>22</v>
      </c>
      <c r="I24" s="33" t="n">
        <v>1</v>
      </c>
      <c r="J24" s="34" t="n">
        <v>200</v>
      </c>
      <c r="K24" s="33"/>
      <c r="L24" s="35"/>
      <c r="M24" s="36" t="n">
        <f aca="false">SUM(C24,I24)</f>
        <v>1</v>
      </c>
      <c r="N24" s="37" t="n">
        <f aca="false">SUM(D24,J24)</f>
        <v>200</v>
      </c>
      <c r="O24" s="38" t="s">
        <v>22</v>
      </c>
      <c r="P24" s="39"/>
      <c r="Q24" s="39"/>
      <c r="R24" s="40"/>
      <c r="S24" s="41"/>
      <c r="T24" s="42"/>
      <c r="U24" s="43"/>
      <c r="V24" s="47"/>
      <c r="W24" s="36" t="n">
        <f aca="false">SUM(M24,Q24)</f>
        <v>1</v>
      </c>
      <c r="X24" s="45" t="n">
        <f aca="false">SUM(N24,R24)</f>
        <v>200</v>
      </c>
      <c r="Y24" s="46"/>
      <c r="Z24" s="43" t="n">
        <v>1814</v>
      </c>
      <c r="AA24" s="41"/>
      <c r="AB24" s="41" t="s">
        <v>54</v>
      </c>
    </row>
    <row r="25" customFormat="false" ht="22.35" hidden="false" customHeight="false" outlineLevel="0" collapsed="false">
      <c r="A25" s="27" t="s">
        <v>56</v>
      </c>
      <c r="B25" s="27" t="s"/>
      <c r="C25" s="28" t="s">
        <v>22</v>
      </c>
      <c r="D25" s="29"/>
      <c r="E25" s="30"/>
      <c r="F25" s="31"/>
      <c r="G25" s="32" t="s">
        <v>22</v>
      </c>
      <c r="H25" s="33"/>
      <c r="I25" s="33"/>
      <c r="J25" s="34"/>
      <c r="K25" s="33"/>
      <c r="L25" s="35"/>
      <c r="M25" s="36" t="n">
        <f aca="false">SUM(C25,I25)</f>
        <v>0</v>
      </c>
      <c r="N25" s="37" t="n">
        <f aca="false">SUM(D25,J25)</f>
        <v>0</v>
      </c>
      <c r="O25" s="38" t="s">
        <v>22</v>
      </c>
      <c r="P25" s="39"/>
      <c r="Q25" s="39"/>
      <c r="R25" s="40"/>
      <c r="S25" s="41"/>
      <c r="T25" s="42"/>
      <c r="U25" s="43"/>
      <c r="V25" s="47"/>
      <c r="W25" s="36" t="n">
        <f aca="false">SUM(M25,Q25)</f>
        <v>0</v>
      </c>
      <c r="X25" s="45" t="n">
        <f aca="false">SUM(N25,R25)</f>
        <v>0</v>
      </c>
      <c r="Y25" s="46"/>
      <c r="Z25" s="43" t="n">
        <v>1821</v>
      </c>
      <c r="AA25" s="41"/>
      <c r="AB25" s="41" t="s">
        <v>56</v>
      </c>
    </row>
    <row r="26" customFormat="false" ht="22.35" hidden="false" customHeight="false" outlineLevel="0" collapsed="false">
      <c r="A26" s="27" t="s">
        <v>57</v>
      </c>
      <c r="B26" s="27" t="s"/>
      <c r="C26" s="28" t="s">
        <v>22</v>
      </c>
      <c r="D26" s="29"/>
      <c r="E26" s="30"/>
      <c r="F26" s="31"/>
      <c r="G26" s="70" t="s">
        <v>58</v>
      </c>
      <c r="H26" s="71" t="s">
        <v>59</v>
      </c>
      <c r="I26" s="33" t="n">
        <v>2</v>
      </c>
      <c r="J26" s="34" t="n">
        <v>900</v>
      </c>
      <c r="K26" s="33"/>
      <c r="L26" s="35"/>
      <c r="M26" s="36" t="n">
        <f aca="false">SUM(C26,I26)</f>
        <v>2</v>
      </c>
      <c r="N26" s="37" t="n">
        <f aca="false">SUM(D26,J26)</f>
        <v>900</v>
      </c>
      <c r="O26" s="72" t="s">
        <v>60</v>
      </c>
      <c r="P26" s="73" t="s">
        <v>61</v>
      </c>
      <c r="Q26" s="39" t="n">
        <v>2</v>
      </c>
      <c r="R26" s="40" t="n">
        <v>8000</v>
      </c>
      <c r="S26" s="41"/>
      <c r="T26" s="42"/>
      <c r="U26" s="43" t="e">
        <f aca="false">#REF!</f>
        <v>#REF!</v>
      </c>
      <c r="V26" s="44" t="n">
        <f aca="false">R26</f>
        <v>8000</v>
      </c>
      <c r="W26" s="36" t="n">
        <f aca="false">SUM(M26,Q26)</f>
        <v>4</v>
      </c>
      <c r="X26" s="45" t="n">
        <f aca="false">SUM(N26,R26)</f>
        <v>8900</v>
      </c>
      <c r="Y26" s="46"/>
      <c r="Z26" s="43" t="n">
        <v>1828</v>
      </c>
      <c r="AA26" s="41" t="n">
        <v>2819</v>
      </c>
      <c r="AB26" s="41" t="s">
        <v>57</v>
      </c>
    </row>
    <row r="27" customFormat="false" ht="19.7" hidden="false" customHeight="false" outlineLevel="0" collapsed="false">
      <c r="A27" s="52" t="s">
        <v>23</v>
      </c>
      <c r="B27" s="52" t="s"/>
      <c r="C27" s="53" t="n">
        <f aca="false">SUM(C6:C26)</f>
        <v>13</v>
      </c>
      <c r="D27" s="54" t="n">
        <f aca="false">SUM(D6:D26)</f>
        <v>3400</v>
      </c>
      <c r="E27" s="55" t="n">
        <f aca="false">SUM(E6:E26)</f>
        <v>0</v>
      </c>
      <c r="F27" s="56" t="n">
        <f aca="false">SUM(F6:F26)</f>
        <v>0</v>
      </c>
      <c r="G27" s="57" t="s">
        <v>23</v>
      </c>
      <c r="H27" s="57"/>
      <c r="I27" s="58" t="n">
        <f aca="false">SUM(I6:I26)</f>
        <v>16</v>
      </c>
      <c r="J27" s="54" t="n">
        <f aca="false">SUM(J6:J26)</f>
        <v>10500</v>
      </c>
      <c r="K27" s="55" t="n">
        <f aca="false">SUM(K6:K26)</f>
        <v>0</v>
      </c>
      <c r="L27" s="56" t="n">
        <f aca="false">SUM(L6:L26)</f>
        <v>0</v>
      </c>
      <c r="M27" s="59" t="n">
        <f aca="false">SUM(M6:M26)</f>
        <v>29</v>
      </c>
      <c r="N27" s="60" t="n">
        <f aca="false">SUM(N6:N26)</f>
        <v>13900</v>
      </c>
      <c r="O27" s="57" t="s">
        <v>23</v>
      </c>
      <c r="P27" s="57"/>
      <c r="Q27" s="61" t="n">
        <f aca="false">SUM(Q6:Q26)</f>
        <v>4</v>
      </c>
      <c r="R27" s="62" t="n">
        <f aca="false">SUM(R6:R26)</f>
        <v>70200</v>
      </c>
      <c r="S27" s="55" t="n">
        <f aca="false">SUM(S6:S26)</f>
        <v>0</v>
      </c>
      <c r="T27" s="56" t="n">
        <f aca="false">SUM(T6:T26)</f>
        <v>0</v>
      </c>
      <c r="U27" s="63" t="e">
        <f aca="false">SUM(U6:U26)</f>
        <v>#REF!</v>
      </c>
      <c r="V27" s="64" t="n">
        <f aca="false">SUM(V6:V26)</f>
        <v>39100</v>
      </c>
      <c r="W27" s="59" t="n">
        <f aca="false">SUM(W6:W26)</f>
        <v>33</v>
      </c>
      <c r="X27" s="65" t="n">
        <f aca="false">SUM(X6:X26)</f>
        <v>84100</v>
      </c>
      <c r="Y27" s="66"/>
      <c r="Z27" s="67"/>
      <c r="AA27" s="67"/>
      <c r="AB27" s="67"/>
    </row>
    <row r="28" customFormat="false" ht="15.75" hidden="false" customHeight="false" outlineLevel="0" collapsed="false">
      <c r="A28" s="2"/>
      <c r="B28" s="2"/>
      <c r="C28" s="2"/>
      <c r="D28" s="68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9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Format="false" ht="15.75" hidden="false" customHeight="false" outlineLevel="0" collapsed="false">
      <c r="B998" s="2"/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7:H27"/>
    <mergeCell ref="O27:P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outlinePr summaryBelow="0"/>
    <pageSetUpPr fitToPage="true"/>
  </sheetPr>
  <dimension ref="A1:AB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style="0" width="16.5" min="2" max="2"/>
    <col collapsed="false" customWidth="true" hidden="false" outlineLevel="0" max="7" min="7" style="0" width="14.25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8" min="18" style="0" width="10"/>
    <col collapsed="false" customWidth="false" hidden="true" outlineLevel="0" max="20" min="19" style="0" width="12.63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62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27" t="s">
        <v>63</v>
      </c>
      <c r="B6" s="27" t="s"/>
      <c r="C6" s="28" t="s">
        <v>22</v>
      </c>
      <c r="D6" s="29"/>
      <c r="E6" s="30"/>
      <c r="F6" s="31"/>
      <c r="G6" s="76" t="s">
        <v>64</v>
      </c>
      <c r="H6" s="33" t="s">
        <v>22</v>
      </c>
      <c r="I6" s="50" t="n">
        <v>1</v>
      </c>
      <c r="J6" s="34" t="n">
        <v>200</v>
      </c>
      <c r="K6" s="33"/>
      <c r="L6" s="35"/>
      <c r="M6" s="36" t="n">
        <f aca="false">SUM(C6,I6)</f>
        <v>1</v>
      </c>
      <c r="N6" s="37" t="n">
        <f aca="false">SUM(D6,J6)</f>
        <v>200</v>
      </c>
      <c r="O6" s="73" t="s">
        <v>65</v>
      </c>
      <c r="P6" s="39" t="s">
        <v>22</v>
      </c>
      <c r="Q6" s="39" t="n">
        <v>1</v>
      </c>
      <c r="R6" s="40" t="n">
        <v>3600</v>
      </c>
      <c r="S6" s="41"/>
      <c r="T6" s="42"/>
      <c r="U6" s="43" t="e">
        <f aca="false">#REF!</f>
        <v>#REF!</v>
      </c>
      <c r="V6" s="44" t="n">
        <f aca="false">R6</f>
        <v>3600</v>
      </c>
      <c r="W6" s="36" t="n">
        <f aca="false">SUM(M6,Q6)</f>
        <v>2</v>
      </c>
      <c r="X6" s="45" t="n">
        <f aca="false">SUM(N6,R6)</f>
        <v>3800</v>
      </c>
      <c r="Y6" s="46"/>
      <c r="Z6" s="43" t="n">
        <v>1838</v>
      </c>
      <c r="AA6" s="41"/>
      <c r="AB6" s="41" t="s">
        <v>63</v>
      </c>
    </row>
    <row r="7" customFormat="false" ht="22.35" hidden="false" customHeight="false" outlineLevel="0" collapsed="false">
      <c r="A7" s="27" t="s">
        <v>66</v>
      </c>
      <c r="B7" s="27" t="s"/>
      <c r="C7" s="28" t="n">
        <v>75</v>
      </c>
      <c r="D7" s="29" t="n">
        <v>224200</v>
      </c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75</v>
      </c>
      <c r="N7" s="37" t="n">
        <f aca="false">SUM(D7,J7)</f>
        <v>224200</v>
      </c>
      <c r="O7" s="39" t="s">
        <v>22</v>
      </c>
      <c r="P7" s="39"/>
      <c r="Q7" s="39"/>
      <c r="R7" s="40"/>
      <c r="S7" s="41"/>
      <c r="T7" s="42"/>
      <c r="U7" s="43" t="e">
        <f aca="false">#REF!</f>
        <v>#REF!</v>
      </c>
      <c r="V7" s="44" t="n">
        <f aca="false">R7</f>
        <v>0</v>
      </c>
      <c r="W7" s="36" t="n">
        <f aca="false">SUM(M7,Q7)</f>
        <v>75</v>
      </c>
      <c r="X7" s="45" t="n">
        <f aca="false">SUM(N7,R7)</f>
        <v>224200</v>
      </c>
      <c r="Y7" s="46"/>
      <c r="Z7" s="43" t="n">
        <v>1846</v>
      </c>
      <c r="AA7" s="41"/>
      <c r="AB7" s="41" t="s">
        <v>66</v>
      </c>
    </row>
    <row r="8" customFormat="false" ht="22.35" hidden="false" customHeight="false" outlineLevel="0" collapsed="false">
      <c r="A8" s="27" t="s">
        <v>67</v>
      </c>
      <c r="B8" s="27" t="s"/>
      <c r="C8" s="28" t="n">
        <v>170</v>
      </c>
      <c r="D8" s="29" t="n">
        <v>136300</v>
      </c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170</v>
      </c>
      <c r="N8" s="37" t="n">
        <f aca="false">SUM(D8,J8)</f>
        <v>136300</v>
      </c>
      <c r="O8" s="39" t="s">
        <v>22</v>
      </c>
      <c r="P8" s="39"/>
      <c r="Q8" s="39"/>
      <c r="R8" s="40"/>
      <c r="S8" s="41"/>
      <c r="T8" s="42"/>
      <c r="U8" s="43" t="e">
        <f aca="false">#REF!</f>
        <v>#REF!</v>
      </c>
      <c r="V8" s="44" t="n">
        <f aca="false">R8</f>
        <v>0</v>
      </c>
      <c r="W8" s="36" t="n">
        <f aca="false">SUM(M8,Q8)</f>
        <v>170</v>
      </c>
      <c r="X8" s="45" t="n">
        <f aca="false">SUM(N8,R8)</f>
        <v>136300</v>
      </c>
      <c r="Y8" s="46"/>
      <c r="Z8" s="43" t="n">
        <v>1854</v>
      </c>
      <c r="AA8" s="41"/>
      <c r="AB8" s="41" t="s">
        <v>67</v>
      </c>
    </row>
    <row r="9" customFormat="false" ht="22.35" hidden="false" customHeight="false" outlineLevel="0" collapsed="false">
      <c r="A9" s="27" t="s">
        <v>68</v>
      </c>
      <c r="B9" s="27" t="s"/>
      <c r="C9" s="28" t="n">
        <v>36</v>
      </c>
      <c r="D9" s="29" t="n">
        <v>100650</v>
      </c>
      <c r="E9" s="30"/>
      <c r="F9" s="31"/>
      <c r="G9" s="76" t="s">
        <v>69</v>
      </c>
      <c r="H9" s="33" t="s">
        <v>22</v>
      </c>
      <c r="I9" s="50" t="n">
        <v>1</v>
      </c>
      <c r="J9" s="34" t="n">
        <v>400</v>
      </c>
      <c r="K9" s="33"/>
      <c r="L9" s="35"/>
      <c r="M9" s="36" t="n">
        <f aca="false">SUM(C9,I9)</f>
        <v>37</v>
      </c>
      <c r="N9" s="37" t="n">
        <f aca="false">SUM(D9,J9)</f>
        <v>101050</v>
      </c>
      <c r="O9" s="39" t="s">
        <v>22</v>
      </c>
      <c r="P9" s="39"/>
      <c r="Q9" s="39"/>
      <c r="R9" s="40"/>
      <c r="S9" s="41"/>
      <c r="T9" s="42"/>
      <c r="U9" s="43" t="e">
        <f aca="false">#REF!</f>
        <v>#REF!</v>
      </c>
      <c r="V9" s="44" t="n">
        <f aca="false">R9</f>
        <v>0</v>
      </c>
      <c r="W9" s="36" t="n">
        <f aca="false">SUM(M9,Q9)</f>
        <v>37</v>
      </c>
      <c r="X9" s="45" t="n">
        <f aca="false">SUM(N9,R9)</f>
        <v>101050</v>
      </c>
      <c r="Y9" s="46"/>
      <c r="Z9" s="43" t="n">
        <v>1859</v>
      </c>
      <c r="AA9" s="41" t="n">
        <v>1860</v>
      </c>
      <c r="AB9" s="41" t="s">
        <v>68</v>
      </c>
    </row>
    <row r="10" customFormat="false" ht="22.35" hidden="false" customHeight="false" outlineLevel="0" collapsed="false">
      <c r="A10" s="27" t="s">
        <v>70</v>
      </c>
      <c r="B10" s="27" t="s"/>
      <c r="C10" s="28" t="n">
        <v>31</v>
      </c>
      <c r="D10" s="29" t="n">
        <v>85200</v>
      </c>
      <c r="E10" s="30"/>
      <c r="F10" s="31"/>
      <c r="G10" s="76" t="s">
        <v>71</v>
      </c>
      <c r="H10" s="33" t="s">
        <v>22</v>
      </c>
      <c r="I10" s="50" t="n">
        <v>1</v>
      </c>
      <c r="J10" s="34" t="n">
        <v>3400</v>
      </c>
      <c r="K10" s="33"/>
      <c r="L10" s="35"/>
      <c r="M10" s="36" t="n">
        <f aca="false">SUM(C10,I10)</f>
        <v>32</v>
      </c>
      <c r="N10" s="37" t="n">
        <f aca="false">SUM(D10,J10)</f>
        <v>88600</v>
      </c>
      <c r="O10" s="73" t="s">
        <v>72</v>
      </c>
      <c r="P10" s="39" t="s">
        <v>22</v>
      </c>
      <c r="Q10" s="39" t="n">
        <v>1</v>
      </c>
      <c r="R10" s="40" t="n">
        <v>5000</v>
      </c>
      <c r="S10" s="41"/>
      <c r="T10" s="42"/>
      <c r="U10" s="43" t="e">
        <f aca="false">#REF!</f>
        <v>#REF!</v>
      </c>
      <c r="V10" s="44" t="n">
        <f aca="false">R10</f>
        <v>5000</v>
      </c>
      <c r="W10" s="36" t="n">
        <f aca="false">SUM(M10,Q10)</f>
        <v>33</v>
      </c>
      <c r="X10" s="45" t="n">
        <f aca="false">SUM(N10,R10)</f>
        <v>93600</v>
      </c>
      <c r="Y10" s="46"/>
      <c r="Z10" s="43" t="n">
        <v>1865</v>
      </c>
      <c r="AA10" s="41"/>
      <c r="AB10" s="41" t="s">
        <v>70</v>
      </c>
    </row>
    <row r="11" customFormat="false" ht="22.35" hidden="false" customHeight="false" outlineLevel="0" collapsed="false">
      <c r="A11" s="27" t="s">
        <v>73</v>
      </c>
      <c r="B11" s="27" t="s"/>
      <c r="C11" s="28" t="n">
        <v>239</v>
      </c>
      <c r="D11" s="29" t="n">
        <v>1046220</v>
      </c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239</v>
      </c>
      <c r="N11" s="37" t="n">
        <f aca="false">SUM(D11,J11)</f>
        <v>1046220</v>
      </c>
      <c r="O11" s="39" t="s">
        <v>22</v>
      </c>
      <c r="P11" s="39"/>
      <c r="Q11" s="39"/>
      <c r="R11" s="40"/>
      <c r="S11" s="41"/>
      <c r="T11" s="42"/>
      <c r="U11" s="43" t="e">
        <f aca="false">#REF!</f>
        <v>#REF!</v>
      </c>
      <c r="V11" s="44" t="n">
        <f aca="false">R11</f>
        <v>0</v>
      </c>
      <c r="W11" s="36" t="n">
        <f aca="false">SUM(M11,Q11)</f>
        <v>239</v>
      </c>
      <c r="X11" s="45" t="n">
        <f aca="false">SUM(N11,R11)</f>
        <v>1046220</v>
      </c>
      <c r="Y11" s="46"/>
      <c r="Z11" s="43" t="n">
        <v>1875</v>
      </c>
      <c r="AA11" s="41"/>
      <c r="AB11" s="41" t="s">
        <v>73</v>
      </c>
    </row>
    <row r="12" customFormat="false" ht="22.35" hidden="false" customHeight="false" outlineLevel="0" collapsed="false">
      <c r="A12" s="27" t="s">
        <v>74</v>
      </c>
      <c r="B12" s="27" t="s"/>
      <c r="C12" s="28" t="n">
        <v>78</v>
      </c>
      <c r="D12" s="29" t="n">
        <v>42400</v>
      </c>
      <c r="E12" s="30"/>
      <c r="F12" s="31"/>
      <c r="G12" s="78" t="s">
        <v>75</v>
      </c>
      <c r="H12" s="71" t="s">
        <v>76</v>
      </c>
      <c r="I12" s="50" t="n">
        <v>4</v>
      </c>
      <c r="J12" s="34" t="n">
        <v>2700</v>
      </c>
      <c r="K12" s="33" t="n">
        <v>1</v>
      </c>
      <c r="L12" s="79" t="s">
        <v>77</v>
      </c>
      <c r="M12" s="36" t="n">
        <f aca="false">SUM(C12,I12)</f>
        <v>82</v>
      </c>
      <c r="N12" s="37" t="n">
        <f aca="false">SUM(D12,J12)</f>
        <v>45100</v>
      </c>
      <c r="O12" s="39" t="s">
        <v>22</v>
      </c>
      <c r="P12" s="39"/>
      <c r="Q12" s="39"/>
      <c r="R12" s="40"/>
      <c r="S12" s="41"/>
      <c r="T12" s="42"/>
      <c r="U12" s="43" t="e">
        <f aca="false">#REF!</f>
        <v>#REF!</v>
      </c>
      <c r="V12" s="44" t="n">
        <f aca="false">R12</f>
        <v>0</v>
      </c>
      <c r="W12" s="36" t="n">
        <f aca="false">SUM(M12,Q12)</f>
        <v>82</v>
      </c>
      <c r="X12" s="45" t="n">
        <f aca="false">SUM(N12,R12)</f>
        <v>45100</v>
      </c>
      <c r="Y12" s="46"/>
      <c r="Z12" s="43" t="n">
        <v>1882</v>
      </c>
      <c r="AA12" s="41"/>
      <c r="AB12" s="41" t="s">
        <v>74</v>
      </c>
    </row>
    <row r="13" customFormat="false" ht="22.35" hidden="false" customHeight="false" outlineLevel="0" collapsed="false">
      <c r="A13" s="27" t="s">
        <v>78</v>
      </c>
      <c r="B13" s="27" t="s"/>
      <c r="C13" s="28" t="n">
        <v>104</v>
      </c>
      <c r="D13" s="29" t="n">
        <v>203400</v>
      </c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104</v>
      </c>
      <c r="N13" s="37" t="n">
        <f aca="false">SUM(D13,J13)</f>
        <v>203400</v>
      </c>
      <c r="O13" s="39" t="s">
        <v>22</v>
      </c>
      <c r="P13" s="39"/>
      <c r="Q13" s="39"/>
      <c r="R13" s="40"/>
      <c r="S13" s="41"/>
      <c r="T13" s="42"/>
      <c r="U13" s="43" t="e">
        <f aca="false">#REF!</f>
        <v>#REF!</v>
      </c>
      <c r="V13" s="44" t="n">
        <f aca="false">R13</f>
        <v>0</v>
      </c>
      <c r="W13" s="36" t="n">
        <f aca="false">SUM(M13,Q13)</f>
        <v>104</v>
      </c>
      <c r="X13" s="45" t="n">
        <f aca="false">SUM(N13,R13)</f>
        <v>203400</v>
      </c>
      <c r="Y13" s="46"/>
      <c r="Z13" s="43" t="n">
        <v>1887</v>
      </c>
      <c r="AA13" s="41"/>
      <c r="AB13" s="41" t="s">
        <v>78</v>
      </c>
    </row>
    <row r="14" customFormat="false" ht="22.35" hidden="false" customHeight="false" outlineLevel="0" collapsed="false">
      <c r="A14" s="27" t="s">
        <v>79</v>
      </c>
      <c r="B14" s="27" t="s"/>
      <c r="C14" s="28" t="n">
        <v>15</v>
      </c>
      <c r="D14" s="29" t="n">
        <v>22100</v>
      </c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15</v>
      </c>
      <c r="N14" s="37" t="n">
        <f aca="false">SUM(D14,J14)</f>
        <v>22100</v>
      </c>
      <c r="O14" s="39" t="s">
        <v>22</v>
      </c>
      <c r="P14" s="39"/>
      <c r="Q14" s="39"/>
      <c r="R14" s="40"/>
      <c r="S14" s="41"/>
      <c r="T14" s="42"/>
      <c r="U14" s="43" t="e">
        <f aca="false">#REF!</f>
        <v>#REF!</v>
      </c>
      <c r="V14" s="44" t="n">
        <f aca="false">R14</f>
        <v>0</v>
      </c>
      <c r="W14" s="36" t="n">
        <f aca="false">SUM(M14,Q14)</f>
        <v>15</v>
      </c>
      <c r="X14" s="45" t="n">
        <f aca="false">SUM(N14,R14)</f>
        <v>22100</v>
      </c>
      <c r="Y14" s="46"/>
      <c r="Z14" s="43" t="n">
        <v>1897</v>
      </c>
      <c r="AA14" s="41"/>
      <c r="AB14" s="41" t="s">
        <v>79</v>
      </c>
    </row>
    <row r="15" customFormat="false" ht="22.35" hidden="false" customHeight="false" outlineLevel="0" collapsed="false">
      <c r="A15" s="27" t="s">
        <v>80</v>
      </c>
      <c r="B15" s="27" t="s"/>
      <c r="C15" s="28" t="n">
        <v>82</v>
      </c>
      <c r="D15" s="29" t="n">
        <v>129090</v>
      </c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82</v>
      </c>
      <c r="N15" s="37" t="n">
        <f aca="false">SUM(D15,J15)</f>
        <v>129090</v>
      </c>
      <c r="O15" s="39" t="s">
        <v>22</v>
      </c>
      <c r="P15" s="39"/>
      <c r="Q15" s="39"/>
      <c r="R15" s="40"/>
      <c r="S15" s="41"/>
      <c r="T15" s="42"/>
      <c r="U15" s="43" t="e">
        <f aca="false">#REF!</f>
        <v>#REF!</v>
      </c>
      <c r="V15" s="44" t="n">
        <f aca="false">R15</f>
        <v>0</v>
      </c>
      <c r="W15" s="36" t="n">
        <f aca="false">SUM(M15,Q15)</f>
        <v>82</v>
      </c>
      <c r="X15" s="45" t="n">
        <f aca="false">SUM(N15,R15)</f>
        <v>129090</v>
      </c>
      <c r="Y15" s="46"/>
      <c r="Z15" s="43" t="n">
        <v>1904</v>
      </c>
      <c r="AA15" s="41"/>
      <c r="AB15" s="41" t="s">
        <v>80</v>
      </c>
    </row>
    <row r="16" customFormat="false" ht="22.35" hidden="false" customHeight="false" outlineLevel="0" collapsed="false">
      <c r="A16" s="27" t="s">
        <v>81</v>
      </c>
      <c r="B16" s="27" t="s"/>
      <c r="C16" s="28" t="n">
        <v>13</v>
      </c>
      <c r="D16" s="29" t="n">
        <v>17750</v>
      </c>
      <c r="E16" s="30"/>
      <c r="F16" s="31"/>
      <c r="G16" s="76" t="s">
        <v>82</v>
      </c>
      <c r="H16" s="71" t="s">
        <v>83</v>
      </c>
      <c r="I16" s="50" t="n">
        <v>2</v>
      </c>
      <c r="J16" s="34" t="n">
        <v>400</v>
      </c>
      <c r="K16" s="33"/>
      <c r="L16" s="35"/>
      <c r="M16" s="36" t="n">
        <f aca="false">SUM(C16,I16)</f>
        <v>15</v>
      </c>
      <c r="N16" s="37" t="n">
        <f aca="false">SUM(D16,J16)</f>
        <v>18150</v>
      </c>
      <c r="O16" s="39" t="s">
        <v>22</v>
      </c>
      <c r="P16" s="39"/>
      <c r="Q16" s="39"/>
      <c r="R16" s="40"/>
      <c r="S16" s="41"/>
      <c r="T16" s="42"/>
      <c r="U16" s="43" t="e">
        <f aca="false">#REF!</f>
        <v>#REF!</v>
      </c>
      <c r="V16" s="44" t="n">
        <f aca="false">R16</f>
        <v>0</v>
      </c>
      <c r="W16" s="36" t="n">
        <f aca="false">SUM(M16,Q16)</f>
        <v>15</v>
      </c>
      <c r="X16" s="45" t="n">
        <f aca="false">SUM(N16,R16)</f>
        <v>18150</v>
      </c>
      <c r="Y16" s="46"/>
      <c r="Z16" s="43" t="n">
        <v>1907</v>
      </c>
      <c r="AA16" s="41"/>
      <c r="AB16" s="41" t="s">
        <v>81</v>
      </c>
    </row>
    <row r="17" customFormat="false" ht="22.35" hidden="false" customHeight="false" outlineLevel="0" collapsed="false">
      <c r="A17" s="27" t="s">
        <v>84</v>
      </c>
      <c r="B17" s="27" t="s"/>
      <c r="C17" s="28" t="n">
        <v>24</v>
      </c>
      <c r="D17" s="29" t="n">
        <v>23200</v>
      </c>
      <c r="E17" s="30"/>
      <c r="F17" s="31"/>
      <c r="G17" s="76" t="s">
        <v>85</v>
      </c>
      <c r="H17" s="71" t="s">
        <v>86</v>
      </c>
      <c r="I17" s="50" t="n">
        <v>2</v>
      </c>
      <c r="J17" s="34" t="n">
        <v>700</v>
      </c>
      <c r="K17" s="33"/>
      <c r="L17" s="35"/>
      <c r="M17" s="36" t="n">
        <f aca="false">SUM(C17,I17)</f>
        <v>26</v>
      </c>
      <c r="N17" s="37" t="n">
        <f aca="false">SUM(D17,J17)</f>
        <v>23900</v>
      </c>
      <c r="O17" s="39" t="s">
        <v>22</v>
      </c>
      <c r="P17" s="39"/>
      <c r="Q17" s="39"/>
      <c r="R17" s="40"/>
      <c r="S17" s="41"/>
      <c r="T17" s="42"/>
      <c r="U17" s="43" t="e">
        <f aca="false">#REF!</f>
        <v>#REF!</v>
      </c>
      <c r="V17" s="44" t="n">
        <f aca="false">R17</f>
        <v>0</v>
      </c>
      <c r="W17" s="36" t="n">
        <f aca="false">SUM(M17,Q17)</f>
        <v>26</v>
      </c>
      <c r="X17" s="45" t="n">
        <f aca="false">SUM(N17,R17)</f>
        <v>23900</v>
      </c>
      <c r="Y17" s="46"/>
      <c r="Z17" s="43" t="n">
        <v>1916</v>
      </c>
      <c r="AA17" s="41"/>
      <c r="AB17" s="41" t="s">
        <v>84</v>
      </c>
    </row>
    <row r="18" customFormat="false" ht="22.35" hidden="false" customHeight="false" outlineLevel="0" collapsed="false">
      <c r="A18" s="27" t="s">
        <v>87</v>
      </c>
      <c r="B18" s="27" t="s"/>
      <c r="C18" s="28" t="n">
        <v>11</v>
      </c>
      <c r="D18" s="29" t="n">
        <v>122040</v>
      </c>
      <c r="E18" s="30"/>
      <c r="F18" s="31"/>
      <c r="G18" s="77" t="s">
        <v>22</v>
      </c>
      <c r="H18" s="33"/>
      <c r="I18" s="50"/>
      <c r="J18" s="34"/>
      <c r="K18" s="33"/>
      <c r="L18" s="35"/>
      <c r="M18" s="36" t="n">
        <f aca="false">SUM(C18,I18)</f>
        <v>11</v>
      </c>
      <c r="N18" s="37" t="n">
        <f aca="false">SUM(D18,J18)</f>
        <v>122040</v>
      </c>
      <c r="O18" s="39" t="s">
        <v>22</v>
      </c>
      <c r="P18" s="39"/>
      <c r="Q18" s="39"/>
      <c r="R18" s="40"/>
      <c r="S18" s="41"/>
      <c r="T18" s="42"/>
      <c r="U18" s="43" t="e">
        <f aca="false">#REF!</f>
        <v>#REF!</v>
      </c>
      <c r="V18" s="44" t="n">
        <f aca="false">R18</f>
        <v>0</v>
      </c>
      <c r="W18" s="36" t="n">
        <f aca="false">SUM(M18,Q18)</f>
        <v>11</v>
      </c>
      <c r="X18" s="45" t="n">
        <f aca="false">SUM(N18,R18)</f>
        <v>122040</v>
      </c>
      <c r="Y18" s="49"/>
      <c r="Z18" s="43" t="n">
        <v>1924</v>
      </c>
      <c r="AA18" s="41"/>
      <c r="AB18" s="41" t="s">
        <v>87</v>
      </c>
    </row>
    <row r="19" customFormat="false" ht="22.35" hidden="false" customHeight="false" outlineLevel="0" collapsed="false">
      <c r="A19" s="27" t="s">
        <v>88</v>
      </c>
      <c r="B19" s="27" t="s"/>
      <c r="C19" s="28" t="n">
        <v>1</v>
      </c>
      <c r="D19" s="29" t="n">
        <v>10160</v>
      </c>
      <c r="E19" s="30"/>
      <c r="F19" s="31"/>
      <c r="G19" s="77" t="s">
        <v>22</v>
      </c>
      <c r="H19" s="33"/>
      <c r="I19" s="50"/>
      <c r="J19" s="34"/>
      <c r="K19" s="33"/>
      <c r="L19" s="35"/>
      <c r="M19" s="36" t="n">
        <f aca="false">SUM(C19,I19)</f>
        <v>1</v>
      </c>
      <c r="N19" s="37" t="n">
        <f aca="false">SUM(D19,J19)</f>
        <v>10160</v>
      </c>
      <c r="O19" s="39" t="s">
        <v>22</v>
      </c>
      <c r="P19" s="39"/>
      <c r="Q19" s="39"/>
      <c r="R19" s="40"/>
      <c r="S19" s="41"/>
      <c r="T19" s="42"/>
      <c r="U19" s="43" t="e">
        <f aca="false">#REF!</f>
        <v>#REF!</v>
      </c>
      <c r="V19" s="44" t="n">
        <f aca="false">R19</f>
        <v>0</v>
      </c>
      <c r="W19" s="36" t="n">
        <f aca="false">SUM(M19,Q19)</f>
        <v>1</v>
      </c>
      <c r="X19" s="45" t="n">
        <f aca="false">SUM(N19,R19)</f>
        <v>10160</v>
      </c>
      <c r="Y19" s="49"/>
      <c r="Z19" s="43" t="n">
        <v>1932</v>
      </c>
      <c r="AA19" s="41"/>
      <c r="AB19" s="41" t="s">
        <v>88</v>
      </c>
    </row>
    <row r="20" customFormat="false" ht="22.35" hidden="false" customHeight="false" outlineLevel="0" collapsed="false">
      <c r="A20" s="27" t="s">
        <v>89</v>
      </c>
      <c r="B20" s="27" t="s"/>
      <c r="C20" s="28" t="n">
        <v>50</v>
      </c>
      <c r="D20" s="29" t="n">
        <v>215800</v>
      </c>
      <c r="E20" s="30"/>
      <c r="F20" s="31"/>
      <c r="G20" s="76" t="s">
        <v>90</v>
      </c>
      <c r="H20" s="71" t="s">
        <v>91</v>
      </c>
      <c r="I20" s="50" t="n">
        <v>2</v>
      </c>
      <c r="J20" s="34" t="n">
        <v>400</v>
      </c>
      <c r="K20" s="33"/>
      <c r="L20" s="35"/>
      <c r="M20" s="36" t="n">
        <f aca="false">SUM(C20,I20)</f>
        <v>52</v>
      </c>
      <c r="N20" s="37" t="n">
        <f aca="false">SUM(D20,J20)</f>
        <v>216200</v>
      </c>
      <c r="O20" s="39" t="s">
        <v>22</v>
      </c>
      <c r="P20" s="39"/>
      <c r="Q20" s="39"/>
      <c r="R20" s="40"/>
      <c r="S20" s="41"/>
      <c r="T20" s="42"/>
      <c r="U20" s="43" t="e">
        <f aca="false">#REF!</f>
        <v>#REF!</v>
      </c>
      <c r="V20" s="44" t="n">
        <f aca="false">R20</f>
        <v>0</v>
      </c>
      <c r="W20" s="36" t="n">
        <f aca="false">SUM(M20,Q20)</f>
        <v>52</v>
      </c>
      <c r="X20" s="45" t="n">
        <f aca="false">SUM(N20,R20)</f>
        <v>216200</v>
      </c>
      <c r="Y20" s="46"/>
      <c r="Z20" s="43" t="n">
        <v>1937</v>
      </c>
      <c r="AA20" s="41"/>
      <c r="AB20" s="41" t="s">
        <v>89</v>
      </c>
    </row>
    <row r="21" customFormat="false" ht="22.35" hidden="false" customHeight="false" outlineLevel="0" collapsed="false">
      <c r="A21" s="27" t="s">
        <v>92</v>
      </c>
      <c r="B21" s="27" t="s"/>
      <c r="C21" s="28" t="n">
        <v>34</v>
      </c>
      <c r="D21" s="29" t="n">
        <v>1997550</v>
      </c>
      <c r="E21" s="30"/>
      <c r="F21" s="31"/>
      <c r="G21" s="76" t="s">
        <v>93</v>
      </c>
      <c r="H21" s="33" t="s">
        <v>22</v>
      </c>
      <c r="I21" s="50" t="n">
        <v>1</v>
      </c>
      <c r="J21" s="34" t="n">
        <v>200</v>
      </c>
      <c r="K21" s="33"/>
      <c r="L21" s="35"/>
      <c r="M21" s="36" t="n">
        <f aca="false">SUM(C21,I21)</f>
        <v>35</v>
      </c>
      <c r="N21" s="37" t="n">
        <f aca="false">SUM(D21,J21)</f>
        <v>1997750</v>
      </c>
      <c r="O21" s="73" t="s">
        <v>94</v>
      </c>
      <c r="P21" s="39" t="s">
        <v>22</v>
      </c>
      <c r="Q21" s="39" t="n">
        <v>1</v>
      </c>
      <c r="R21" s="40" t="n">
        <v>1000</v>
      </c>
      <c r="S21" s="41"/>
      <c r="T21" s="42"/>
      <c r="U21" s="43" t="e">
        <f aca="false">#REF!</f>
        <v>#REF!</v>
      </c>
      <c r="V21" s="44" t="n">
        <f aca="false">R21</f>
        <v>1000</v>
      </c>
      <c r="W21" s="36" t="n">
        <f aca="false">SUM(M21,Q21)</f>
        <v>36</v>
      </c>
      <c r="X21" s="45" t="n">
        <f aca="false">SUM(N21,R21)</f>
        <v>1998750</v>
      </c>
      <c r="Y21" s="46"/>
      <c r="Z21" s="43" t="n">
        <v>1946</v>
      </c>
      <c r="AA21" s="41" t="n">
        <v>1947</v>
      </c>
      <c r="AB21" s="41" t="s">
        <v>92</v>
      </c>
    </row>
    <row r="22" customFormat="false" ht="22.35" hidden="false" customHeight="false" outlineLevel="0" collapsed="false">
      <c r="A22" s="27" t="s">
        <v>95</v>
      </c>
      <c r="B22" s="27" t="s"/>
      <c r="C22" s="28" t="n">
        <v>15</v>
      </c>
      <c r="D22" s="29" t="n">
        <v>340180</v>
      </c>
      <c r="E22" s="30"/>
      <c r="F22" s="31"/>
      <c r="G22" s="76" t="s">
        <v>96</v>
      </c>
      <c r="H22" s="33" t="s">
        <v>22</v>
      </c>
      <c r="I22" s="50" t="n">
        <v>1</v>
      </c>
      <c r="J22" s="34" t="n">
        <v>3400</v>
      </c>
      <c r="K22" s="33"/>
      <c r="L22" s="35"/>
      <c r="M22" s="36" t="n">
        <f aca="false">SUM(C22,I22)</f>
        <v>16</v>
      </c>
      <c r="N22" s="37" t="n">
        <f aca="false">SUM(D22,J22)</f>
        <v>343580</v>
      </c>
      <c r="O22" s="39" t="s">
        <v>22</v>
      </c>
      <c r="P22" s="39"/>
      <c r="Q22" s="39"/>
      <c r="R22" s="40"/>
      <c r="S22" s="41"/>
      <c r="T22" s="42"/>
      <c r="U22" s="43" t="e">
        <f aca="false">#REF!</f>
        <v>#REF!</v>
      </c>
      <c r="V22" s="44" t="n">
        <f aca="false">R22</f>
        <v>0</v>
      </c>
      <c r="W22" s="36" t="n">
        <f aca="false">SUM(M22,Q22)</f>
        <v>16</v>
      </c>
      <c r="X22" s="45" t="n">
        <f aca="false">SUM(N22,R22)</f>
        <v>343580</v>
      </c>
      <c r="Y22" s="46"/>
      <c r="Z22" s="43" t="n">
        <v>1952</v>
      </c>
      <c r="AA22" s="41"/>
      <c r="AB22" s="41" t="s">
        <v>95</v>
      </c>
    </row>
    <row r="23" customFormat="false" ht="22.35" hidden="false" customHeight="false" outlineLevel="0" collapsed="false">
      <c r="A23" s="27" t="s">
        <v>97</v>
      </c>
      <c r="B23" s="27" t="s"/>
      <c r="C23" s="28" t="n">
        <v>4</v>
      </c>
      <c r="D23" s="29" t="n">
        <v>6200</v>
      </c>
      <c r="E23" s="30"/>
      <c r="F23" s="31"/>
      <c r="G23" s="76" t="s">
        <v>98</v>
      </c>
      <c r="H23" s="33" t="s">
        <v>22</v>
      </c>
      <c r="I23" s="50" t="n">
        <v>1</v>
      </c>
      <c r="J23" s="34" t="n">
        <v>500</v>
      </c>
      <c r="K23" s="33"/>
      <c r="L23" s="35"/>
      <c r="M23" s="36" t="n">
        <f aca="false">SUM(C23,I23)</f>
        <v>5</v>
      </c>
      <c r="N23" s="37" t="n">
        <f aca="false">SUM(D23,J23)</f>
        <v>6700</v>
      </c>
      <c r="O23" s="38" t="s">
        <v>22</v>
      </c>
      <c r="P23" s="39"/>
      <c r="Q23" s="39"/>
      <c r="R23" s="40"/>
      <c r="S23" s="41"/>
      <c r="T23" s="42"/>
      <c r="U23" s="43" t="e">
        <f aca="false">#REF!</f>
        <v>#REF!</v>
      </c>
      <c r="V23" s="44" t="n">
        <f aca="false">R23</f>
        <v>0</v>
      </c>
      <c r="W23" s="36" t="n">
        <f aca="false">SUM(M23,Q23)</f>
        <v>5</v>
      </c>
      <c r="X23" s="45" t="n">
        <f aca="false">SUM(N23,R23)</f>
        <v>6700</v>
      </c>
      <c r="Y23" s="46"/>
      <c r="Z23" s="43" t="n">
        <v>1960</v>
      </c>
      <c r="AA23" s="41" t="n">
        <v>1961</v>
      </c>
      <c r="AB23" s="41" t="s">
        <v>97</v>
      </c>
    </row>
    <row r="24" customFormat="false" ht="23.25" hidden="false" customHeight="true" outlineLevel="0" collapsed="false">
      <c r="A24" s="27" t="s">
        <v>99</v>
      </c>
      <c r="B24" s="27" t="s"/>
      <c r="C24" s="80" t="n">
        <v>223</v>
      </c>
      <c r="D24" s="81" t="n">
        <v>529390</v>
      </c>
      <c r="E24" s="82"/>
      <c r="F24" s="83"/>
      <c r="G24" s="84" t="s">
        <v>22</v>
      </c>
      <c r="H24" s="33"/>
      <c r="I24" s="85"/>
      <c r="J24" s="86"/>
      <c r="K24" s="87"/>
      <c r="L24" s="88"/>
      <c r="M24" s="36" t="n">
        <f aca="false">SUM(C24,I24)</f>
        <v>223</v>
      </c>
      <c r="N24" s="37" t="n">
        <f aca="false">SUM(D24,J24)</f>
        <v>529390</v>
      </c>
      <c r="O24" s="89" t="s">
        <v>22</v>
      </c>
      <c r="P24" s="90"/>
      <c r="Q24" s="91"/>
      <c r="R24" s="92"/>
      <c r="S24" s="93"/>
      <c r="T24" s="94"/>
      <c r="U24" s="43"/>
      <c r="V24" s="47"/>
      <c r="W24" s="36" t="n">
        <f aca="false">SUM(M24,Q24)</f>
        <v>223</v>
      </c>
      <c r="X24" s="45" t="n">
        <f aca="false">SUM(N24,R24)</f>
        <v>529390</v>
      </c>
      <c r="Y24" s="46"/>
      <c r="Z24" s="43" t="n">
        <v>1967</v>
      </c>
      <c r="AA24" s="41"/>
      <c r="AB24" s="41" t="s">
        <v>99</v>
      </c>
    </row>
    <row r="25" customFormat="false" ht="22.35" hidden="false" customHeight="false" outlineLevel="0" collapsed="false">
      <c r="A25" s="27" t="s">
        <v>100</v>
      </c>
      <c r="B25" s="27" t="s"/>
      <c r="C25" s="80" t="n">
        <v>248</v>
      </c>
      <c r="D25" s="81" t="n">
        <v>2350790</v>
      </c>
      <c r="E25" s="82"/>
      <c r="F25" s="83"/>
      <c r="G25" s="84" t="s">
        <v>22</v>
      </c>
      <c r="H25" s="33"/>
      <c r="I25" s="85"/>
      <c r="J25" s="86"/>
      <c r="K25" s="87"/>
      <c r="L25" s="88"/>
      <c r="M25" s="36" t="n">
        <f aca="false">SUM(C25,I25)</f>
        <v>248</v>
      </c>
      <c r="N25" s="37" t="n">
        <f aca="false">SUM(D25,J25)</f>
        <v>2350790</v>
      </c>
      <c r="O25" s="89" t="s">
        <v>22</v>
      </c>
      <c r="P25" s="90"/>
      <c r="Q25" s="91"/>
      <c r="R25" s="92"/>
      <c r="S25" s="93"/>
      <c r="T25" s="94"/>
      <c r="U25" s="43"/>
      <c r="V25" s="47"/>
      <c r="W25" s="36" t="n">
        <f aca="false">SUM(M25,Q25)</f>
        <v>248</v>
      </c>
      <c r="X25" s="45" t="n">
        <f aca="false">SUM(N25,R25)</f>
        <v>2350790</v>
      </c>
      <c r="Y25" s="46"/>
      <c r="Z25" s="43" t="n">
        <v>1974</v>
      </c>
      <c r="AA25" s="41"/>
      <c r="AB25" s="41" t="s">
        <v>100</v>
      </c>
    </row>
    <row r="26" customFormat="false" ht="19.7" hidden="false" customHeight="false" outlineLevel="0" collapsed="false">
      <c r="A26" s="52" t="s">
        <v>23</v>
      </c>
      <c r="B26" s="52" t="s"/>
      <c r="C26" s="53" t="n">
        <f aca="false">SUM(C6:C25)</f>
        <v>1453</v>
      </c>
      <c r="D26" s="54" t="n">
        <f aca="false">SUM(D6:D25)</f>
        <v>7602620</v>
      </c>
      <c r="E26" s="55" t="n">
        <f aca="false">SUM(E6:E23)</f>
        <v>0</v>
      </c>
      <c r="F26" s="56" t="n">
        <f aca="false">SUM(F6:F23)</f>
        <v>0</v>
      </c>
      <c r="G26" s="57" t="s">
        <v>23</v>
      </c>
      <c r="H26" s="57"/>
      <c r="I26" s="58" t="n">
        <f aca="false">SUM(I6:I25)</f>
        <v>16</v>
      </c>
      <c r="J26" s="54" t="n">
        <f aca="false">SUM(J6:J25)</f>
        <v>12300</v>
      </c>
      <c r="K26" s="55" t="n">
        <f aca="false">SUM(K6:K23)</f>
        <v>1</v>
      </c>
      <c r="L26" s="56" t="n">
        <f aca="false">SUM(L6:L23)</f>
        <v>0</v>
      </c>
      <c r="M26" s="59" t="n">
        <f aca="false">SUM(M6:M23)</f>
        <v>998</v>
      </c>
      <c r="N26" s="60" t="n">
        <f aca="false">SUM(N6:N23)</f>
        <v>4734740</v>
      </c>
      <c r="O26" s="57" t="s">
        <v>23</v>
      </c>
      <c r="P26" s="57"/>
      <c r="Q26" s="61" t="n">
        <f aca="false">SUM(Q6:Q25)</f>
        <v>3</v>
      </c>
      <c r="R26" s="62" t="n">
        <f aca="false">SUM(R6:R25)</f>
        <v>9600</v>
      </c>
      <c r="S26" s="55" t="n">
        <f aca="false">SUM(S6:S23)</f>
        <v>0</v>
      </c>
      <c r="T26" s="56" t="n">
        <f aca="false">SUM(T6:T23)</f>
        <v>0</v>
      </c>
      <c r="U26" s="63" t="e">
        <f aca="false">SUM(U6:U23)</f>
        <v>#REF!</v>
      </c>
      <c r="V26" s="64" t="n">
        <f aca="false">SUM(V6:V23)</f>
        <v>9600</v>
      </c>
      <c r="W26" s="59" t="n">
        <f aca="false">SUM(W6:W25)</f>
        <v>1472</v>
      </c>
      <c r="X26" s="65" t="n">
        <f aca="false">SUM(X6:X25)</f>
        <v>7624520</v>
      </c>
      <c r="Y26" s="66"/>
      <c r="Z26" s="67"/>
      <c r="AA26" s="67"/>
      <c r="AB26" s="67"/>
    </row>
    <row r="27" customFormat="false" ht="15.75" hidden="false" customHeight="false" outlineLevel="0" collapsed="false">
      <c r="A27" s="2"/>
      <c r="B27" s="2"/>
      <c r="C27" s="2"/>
      <c r="D27" s="68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outlinePr summaryBelow="0"/>
    <pageSetUpPr fitToPage="true"/>
  </sheetPr>
  <dimension ref="A1:AB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style="0" width="16.5" min="2" max="2"/>
    <col collapsed="false" customWidth="true" hidden="false" outlineLevel="0" max="7" min="7" style="0" width="13.75"/>
    <col collapsed="false" customWidth="true" hidden="false" outlineLevel="0" max="8" min="8" style="0" width="15.25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101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27" t="s">
        <v>102</v>
      </c>
      <c r="B6" s="27" t="s"/>
      <c r="C6" s="28" t="n">
        <v>327</v>
      </c>
      <c r="D6" s="29" t="n">
        <v>157350</v>
      </c>
      <c r="E6" s="30"/>
      <c r="F6" s="31"/>
      <c r="G6" s="77" t="s">
        <v>22</v>
      </c>
      <c r="H6" s="33"/>
      <c r="I6" s="50"/>
      <c r="J6" s="34"/>
      <c r="K6" s="33"/>
      <c r="L6" s="35"/>
      <c r="M6" s="36" t="n">
        <f aca="false">SUM(C6,I6)</f>
        <v>327</v>
      </c>
      <c r="N6" s="37" t="n">
        <f aca="false">SUM(D6,J6)</f>
        <v>157350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327</v>
      </c>
      <c r="X6" s="45" t="n">
        <f aca="false">SUM(N6,R6)</f>
        <v>157350</v>
      </c>
      <c r="Y6" s="46"/>
      <c r="Z6" s="43" t="n">
        <v>1980</v>
      </c>
      <c r="AA6" s="41"/>
      <c r="AB6" s="41" t="s">
        <v>102</v>
      </c>
    </row>
    <row r="7" customFormat="false" ht="22.35" hidden="false" customHeight="false" outlineLevel="0" collapsed="false">
      <c r="A7" s="27" t="s">
        <v>103</v>
      </c>
      <c r="B7" s="27" t="s"/>
      <c r="C7" s="28" t="n">
        <v>118</v>
      </c>
      <c r="D7" s="29" t="n">
        <v>229750</v>
      </c>
      <c r="E7" s="30"/>
      <c r="F7" s="31"/>
      <c r="G7" s="76" t="s">
        <v>104</v>
      </c>
      <c r="H7" s="71" t="s">
        <v>105</v>
      </c>
      <c r="I7" s="50" t="n">
        <v>2</v>
      </c>
      <c r="J7" s="34" t="n">
        <v>1300</v>
      </c>
      <c r="K7" s="33"/>
      <c r="L7" s="35"/>
      <c r="M7" s="36" t="n">
        <f aca="false">SUM(C7,I7)</f>
        <v>120</v>
      </c>
      <c r="N7" s="37" t="n">
        <f aca="false">SUM(D7,J7)</f>
        <v>231050</v>
      </c>
      <c r="O7" s="39" t="s">
        <v>22</v>
      </c>
      <c r="P7" s="39"/>
      <c r="Q7" s="39"/>
      <c r="R7" s="40"/>
      <c r="S7" s="41" t="n">
        <v>2</v>
      </c>
      <c r="T7" s="96" t="s">
        <v>106</v>
      </c>
      <c r="U7" s="43" t="n">
        <f aca="false">SUM(Q7)</f>
        <v>0</v>
      </c>
      <c r="V7" s="95" t="n">
        <f aca="false">SUM(R7)</f>
        <v>0</v>
      </c>
      <c r="W7" s="36" t="n">
        <f aca="false">SUM(M7,Q7)</f>
        <v>120</v>
      </c>
      <c r="X7" s="45" t="n">
        <f aca="false">SUM(N7,R7)</f>
        <v>231050</v>
      </c>
      <c r="Y7" s="46"/>
      <c r="Z7" s="43" t="n">
        <v>1987</v>
      </c>
      <c r="AA7" s="41"/>
      <c r="AB7" s="41" t="s">
        <v>103</v>
      </c>
    </row>
    <row r="8" customFormat="false" ht="22.35" hidden="false" customHeight="false" outlineLevel="0" collapsed="false">
      <c r="A8" s="27" t="s">
        <v>107</v>
      </c>
      <c r="B8" s="27" t="s"/>
      <c r="C8" s="28" t="n">
        <v>20</v>
      </c>
      <c r="D8" s="29" t="n">
        <v>39750</v>
      </c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20</v>
      </c>
      <c r="N8" s="37" t="n">
        <f aca="false">SUM(D8,J8)</f>
        <v>39750</v>
      </c>
      <c r="O8" s="73" t="s">
        <v>108</v>
      </c>
      <c r="P8" s="73" t="s">
        <v>109</v>
      </c>
      <c r="Q8" s="39" t="n">
        <v>5</v>
      </c>
      <c r="R8" s="40" t="n">
        <v>7800</v>
      </c>
      <c r="S8" s="41"/>
      <c r="T8" s="42"/>
      <c r="U8" s="43" t="n">
        <f aca="false">SUM(Q8)</f>
        <v>5</v>
      </c>
      <c r="V8" s="95" t="n">
        <f aca="false">SUM(R8)</f>
        <v>7800</v>
      </c>
      <c r="W8" s="36" t="n">
        <f aca="false">SUM(M8,Q8)</f>
        <v>25</v>
      </c>
      <c r="X8" s="45" t="n">
        <f aca="false">SUM(N8,R8)</f>
        <v>47550</v>
      </c>
      <c r="Y8" s="46"/>
      <c r="Z8" s="43" t="n">
        <v>19994</v>
      </c>
      <c r="AA8" s="41"/>
      <c r="AB8" s="41" t="s">
        <v>107</v>
      </c>
    </row>
    <row r="9" customFormat="false" ht="22.35" hidden="false" customHeight="false" outlineLevel="0" collapsed="false">
      <c r="A9" s="27" t="s">
        <v>110</v>
      </c>
      <c r="B9" s="27" t="s"/>
      <c r="C9" s="28" t="n">
        <v>54</v>
      </c>
      <c r="D9" s="29" t="n">
        <v>85200</v>
      </c>
      <c r="E9" s="30"/>
      <c r="F9" s="31"/>
      <c r="G9" s="76" t="s">
        <v>111</v>
      </c>
      <c r="H9" s="33" t="s">
        <v>22</v>
      </c>
      <c r="I9" s="50" t="n">
        <v>1</v>
      </c>
      <c r="J9" s="34" t="n">
        <v>79680</v>
      </c>
      <c r="K9" s="33"/>
      <c r="L9" s="35"/>
      <c r="M9" s="36" t="n">
        <f aca="false">SUM(C9,I9)</f>
        <v>55</v>
      </c>
      <c r="N9" s="37" t="n">
        <f aca="false">SUM(D9,J9)</f>
        <v>164880</v>
      </c>
      <c r="O9" s="73" t="s">
        <v>112</v>
      </c>
      <c r="P9" s="39" t="s">
        <v>22</v>
      </c>
      <c r="Q9" s="39" t="n">
        <v>1</v>
      </c>
      <c r="R9" s="40" t="n">
        <v>5000</v>
      </c>
      <c r="S9" s="41"/>
      <c r="T9" s="42"/>
      <c r="U9" s="43" t="n">
        <f aca="false">SUM(Q9)</f>
        <v>1</v>
      </c>
      <c r="V9" s="95" t="n">
        <f aca="false">SUM(R9)</f>
        <v>5000</v>
      </c>
      <c r="W9" s="36" t="n">
        <f aca="false">SUM(M9,Q9)</f>
        <v>56</v>
      </c>
      <c r="X9" s="45" t="n">
        <f aca="false">SUM(N9,R9)</f>
        <v>169880</v>
      </c>
      <c r="Y9" s="46"/>
      <c r="Z9" s="43" t="n">
        <v>2006</v>
      </c>
      <c r="AA9" s="41"/>
      <c r="AB9" s="41" t="s">
        <v>110</v>
      </c>
    </row>
    <row r="10" customFormat="false" ht="22.35" hidden="false" customHeight="false" outlineLevel="0" collapsed="false">
      <c r="A10" s="27" t="s">
        <v>113</v>
      </c>
      <c r="B10" s="27" t="s"/>
      <c r="C10" s="28" t="n">
        <v>166</v>
      </c>
      <c r="D10" s="29" t="n">
        <v>131620</v>
      </c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166</v>
      </c>
      <c r="N10" s="37" t="n">
        <f aca="false">SUM(D10,J10)</f>
        <v>131620</v>
      </c>
      <c r="O10" s="73" t="s">
        <v>114</v>
      </c>
      <c r="P10" s="39" t="s">
        <v>22</v>
      </c>
      <c r="Q10" s="39" t="n">
        <v>1</v>
      </c>
      <c r="R10" s="40" t="n">
        <v>3700</v>
      </c>
      <c r="S10" s="41"/>
      <c r="T10" s="42"/>
      <c r="U10" s="43" t="n">
        <f aca="false">SUM(Q10)</f>
        <v>1</v>
      </c>
      <c r="V10" s="95" t="n">
        <f aca="false">SUM(R10)</f>
        <v>3700</v>
      </c>
      <c r="W10" s="36" t="n">
        <f aca="false">SUM(M10,Q10)</f>
        <v>167</v>
      </c>
      <c r="X10" s="45" t="n">
        <f aca="false">SUM(N10,R10)</f>
        <v>135320</v>
      </c>
      <c r="Y10" s="46"/>
      <c r="Z10" s="43" t="n">
        <v>2010</v>
      </c>
      <c r="AA10" s="41"/>
      <c r="AB10" s="41" t="s">
        <v>113</v>
      </c>
    </row>
    <row r="11" customFormat="false" ht="22.35" hidden="false" customHeight="false" outlineLevel="0" collapsed="false">
      <c r="A11" s="27" t="s">
        <v>115</v>
      </c>
      <c r="B11" s="27" t="s"/>
      <c r="C11" s="28" t="n">
        <v>264</v>
      </c>
      <c r="D11" s="29" t="n">
        <v>16372520</v>
      </c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264</v>
      </c>
      <c r="N11" s="37" t="n">
        <f aca="false">SUM(D11,J11)</f>
        <v>16372520</v>
      </c>
      <c r="O11" s="73" t="s">
        <v>116</v>
      </c>
      <c r="P11" s="39" t="s">
        <v>22</v>
      </c>
      <c r="Q11" s="39" t="n">
        <v>1</v>
      </c>
      <c r="R11" s="40" t="n">
        <v>1000</v>
      </c>
      <c r="S11" s="41"/>
      <c r="T11" s="42"/>
      <c r="U11" s="43" t="n">
        <f aca="false">SUM(Q11)</f>
        <v>1</v>
      </c>
      <c r="V11" s="95" t="n">
        <f aca="false">SUM(R11)</f>
        <v>1000</v>
      </c>
      <c r="W11" s="36" t="n">
        <f aca="false">SUM(M11,Q11)</f>
        <v>265</v>
      </c>
      <c r="X11" s="45" t="n">
        <f aca="false">SUM(N11,R11)</f>
        <v>16373520</v>
      </c>
      <c r="Y11" s="46"/>
      <c r="Z11" s="43" t="n">
        <v>2018</v>
      </c>
      <c r="AA11" s="41"/>
      <c r="AB11" s="41" t="s">
        <v>115</v>
      </c>
    </row>
    <row r="12" customFormat="false" ht="22.35" hidden="false" customHeight="false" outlineLevel="0" collapsed="false">
      <c r="A12" s="27" t="s">
        <v>117</v>
      </c>
      <c r="B12" s="27" t="s"/>
      <c r="C12" s="28" t="n">
        <v>67</v>
      </c>
      <c r="D12" s="29" t="n">
        <v>3899300</v>
      </c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67</v>
      </c>
      <c r="N12" s="37" t="n">
        <f aca="false">SUM(D12,J12)</f>
        <v>3899300</v>
      </c>
      <c r="O12" s="73" t="s">
        <v>118</v>
      </c>
      <c r="P12" s="73" t="s">
        <v>119</v>
      </c>
      <c r="Q12" s="39" t="n">
        <v>6</v>
      </c>
      <c r="R12" s="40" t="n">
        <v>9800</v>
      </c>
      <c r="S12" s="41"/>
      <c r="T12" s="42"/>
      <c r="U12" s="43" t="n">
        <f aca="false">SUM(Q12)</f>
        <v>6</v>
      </c>
      <c r="V12" s="95" t="n">
        <f aca="false">SUM(R12)</f>
        <v>9800</v>
      </c>
      <c r="W12" s="36" t="n">
        <f aca="false">SUM(M12,Q12)</f>
        <v>73</v>
      </c>
      <c r="X12" s="45" t="n">
        <f aca="false">SUM(N12,R12)</f>
        <v>3909100</v>
      </c>
      <c r="Y12" s="46"/>
      <c r="Z12" s="43" t="n">
        <v>2020</v>
      </c>
      <c r="AA12" s="41"/>
      <c r="AB12" s="41" t="s">
        <v>117</v>
      </c>
    </row>
    <row r="13" customFormat="false" ht="22.35" hidden="false" customHeight="false" outlineLevel="0" collapsed="false">
      <c r="A13" s="27" t="s">
        <v>120</v>
      </c>
      <c r="B13" s="27" t="s"/>
      <c r="C13" s="28" t="n">
        <v>13</v>
      </c>
      <c r="D13" s="29" t="n">
        <v>33700</v>
      </c>
      <c r="E13" s="30"/>
      <c r="F13" s="31"/>
      <c r="G13" s="76" t="s">
        <v>121</v>
      </c>
      <c r="H13" s="71" t="s">
        <v>122</v>
      </c>
      <c r="I13" s="50" t="n">
        <v>2</v>
      </c>
      <c r="J13" s="34" t="n">
        <v>1200</v>
      </c>
      <c r="K13" s="33"/>
      <c r="L13" s="35"/>
      <c r="M13" s="36" t="n">
        <f aca="false">SUM(C13,I13)</f>
        <v>15</v>
      </c>
      <c r="N13" s="37" t="n">
        <f aca="false">SUM(D13,J13)</f>
        <v>34900</v>
      </c>
      <c r="O13" s="73" t="s">
        <v>123</v>
      </c>
      <c r="P13" s="73" t="s">
        <v>124</v>
      </c>
      <c r="Q13" s="39" t="n">
        <v>2</v>
      </c>
      <c r="R13" s="40" t="n">
        <v>9700</v>
      </c>
      <c r="S13" s="41"/>
      <c r="T13" s="42"/>
      <c r="U13" s="43" t="n">
        <f aca="false">SUM(Q13)</f>
        <v>2</v>
      </c>
      <c r="V13" s="95" t="n">
        <f aca="false">SUM(R13)</f>
        <v>9700</v>
      </c>
      <c r="W13" s="36" t="n">
        <f aca="false">SUM(M13,Q13)</f>
        <v>17</v>
      </c>
      <c r="X13" s="45" t="n">
        <f aca="false">SUM(N13,R13)</f>
        <v>44600</v>
      </c>
      <c r="Y13" s="46"/>
      <c r="Z13" s="43" t="n">
        <v>2030</v>
      </c>
      <c r="AA13" s="41"/>
      <c r="AB13" s="41" t="s">
        <v>120</v>
      </c>
    </row>
    <row r="14" customFormat="false" ht="22.35" hidden="false" customHeight="false" outlineLevel="0" collapsed="false">
      <c r="A14" s="27" t="s">
        <v>125</v>
      </c>
      <c r="B14" s="27" t="s"/>
      <c r="C14" s="28" t="n">
        <v>36</v>
      </c>
      <c r="D14" s="29" t="n">
        <v>24900</v>
      </c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36</v>
      </c>
      <c r="N14" s="37" t="n">
        <f aca="false">SUM(D14,J14)</f>
        <v>24900</v>
      </c>
      <c r="O14" s="73" t="s">
        <v>126</v>
      </c>
      <c r="P14" s="73" t="s">
        <v>127</v>
      </c>
      <c r="Q14" s="39" t="n">
        <v>3</v>
      </c>
      <c r="R14" s="40" t="n">
        <v>7900</v>
      </c>
      <c r="S14" s="41"/>
      <c r="T14" s="42"/>
      <c r="U14" s="43" t="n">
        <f aca="false">SUM(Q14)</f>
        <v>3</v>
      </c>
      <c r="V14" s="95" t="n">
        <f aca="false">SUM(R14)</f>
        <v>7900</v>
      </c>
      <c r="W14" s="36" t="n">
        <f aca="false">SUM(M14,Q14)</f>
        <v>39</v>
      </c>
      <c r="X14" s="45" t="n">
        <f aca="false">SUM(N14,R14)</f>
        <v>32800</v>
      </c>
      <c r="Y14" s="46"/>
      <c r="Z14" s="43" t="n">
        <v>2037</v>
      </c>
      <c r="AA14" s="41" t="n">
        <v>2038</v>
      </c>
      <c r="AB14" s="41" t="s">
        <v>125</v>
      </c>
    </row>
    <row r="15" customFormat="false" ht="22.35" hidden="false" customHeight="false" outlineLevel="0" collapsed="false">
      <c r="A15" s="27" t="s">
        <v>128</v>
      </c>
      <c r="B15" s="27" t="s"/>
      <c r="C15" s="28" t="n">
        <v>18</v>
      </c>
      <c r="D15" s="29" t="n">
        <v>3570040</v>
      </c>
      <c r="E15" s="30"/>
      <c r="F15" s="31"/>
      <c r="G15" s="76" t="s">
        <v>129</v>
      </c>
      <c r="H15" s="33" t="s">
        <v>22</v>
      </c>
      <c r="I15" s="50" t="n">
        <v>1</v>
      </c>
      <c r="J15" s="34" t="n">
        <v>200</v>
      </c>
      <c r="K15" s="33"/>
      <c r="L15" s="35"/>
      <c r="M15" s="36" t="n">
        <f aca="false">SUM(C15,I15)</f>
        <v>19</v>
      </c>
      <c r="N15" s="37" t="n">
        <f aca="false">SUM(D15,J15)</f>
        <v>3570240</v>
      </c>
      <c r="O15" s="39" t="s">
        <v>22</v>
      </c>
      <c r="P15" s="39"/>
      <c r="Q15" s="39"/>
      <c r="R15" s="40"/>
      <c r="S15" s="41"/>
      <c r="T15" s="42"/>
      <c r="U15" s="43" t="n">
        <f aca="false">SUM(Q15)</f>
        <v>0</v>
      </c>
      <c r="V15" s="95" t="n">
        <f aca="false">SUM(R15)</f>
        <v>0</v>
      </c>
      <c r="W15" s="36" t="n">
        <f aca="false">SUM(M15,Q15)</f>
        <v>19</v>
      </c>
      <c r="X15" s="45" t="n">
        <f aca="false">SUM(N15,R15)</f>
        <v>3570240</v>
      </c>
      <c r="Y15" s="46"/>
      <c r="Z15" s="43" t="n">
        <v>2051</v>
      </c>
      <c r="AA15" s="41"/>
      <c r="AB15" s="41" t="s">
        <v>128</v>
      </c>
    </row>
    <row r="16" customFormat="false" ht="22.35" hidden="false" customHeight="false" outlineLevel="0" collapsed="false">
      <c r="A16" s="27" t="s">
        <v>130</v>
      </c>
      <c r="B16" s="27" t="s"/>
      <c r="C16" s="28" t="n">
        <v>52</v>
      </c>
      <c r="D16" s="29" t="n">
        <v>232890</v>
      </c>
      <c r="E16" s="30"/>
      <c r="F16" s="31"/>
      <c r="G16" s="77" t="s">
        <v>22</v>
      </c>
      <c r="H16" s="33"/>
      <c r="I16" s="50"/>
      <c r="J16" s="34"/>
      <c r="K16" s="33"/>
      <c r="L16" s="35"/>
      <c r="M16" s="36" t="n">
        <f aca="false">SUM(C16,I16)</f>
        <v>52</v>
      </c>
      <c r="N16" s="37" t="n">
        <f aca="false">SUM(D16,J16)</f>
        <v>232890</v>
      </c>
      <c r="O16" s="73" t="s">
        <v>131</v>
      </c>
      <c r="P16" s="73" t="s">
        <v>132</v>
      </c>
      <c r="Q16" s="39" t="n">
        <v>5</v>
      </c>
      <c r="R16" s="40" t="n">
        <v>22300</v>
      </c>
      <c r="S16" s="41"/>
      <c r="T16" s="42"/>
      <c r="U16" s="43" t="n">
        <f aca="false">SUM(Q16)</f>
        <v>5</v>
      </c>
      <c r="V16" s="95" t="n">
        <f aca="false">SUM(R16)</f>
        <v>22300</v>
      </c>
      <c r="W16" s="36" t="n">
        <f aca="false">SUM(M16,Q16)</f>
        <v>57</v>
      </c>
      <c r="X16" s="45" t="n">
        <f aca="false">SUM(N16,R16)</f>
        <v>255190</v>
      </c>
      <c r="Y16" s="46"/>
      <c r="Z16" s="43" t="n">
        <v>2059</v>
      </c>
      <c r="AA16" s="41"/>
      <c r="AB16" s="41" t="s">
        <v>130</v>
      </c>
    </row>
    <row r="17" customFormat="false" ht="22.35" hidden="false" customHeight="false" outlineLevel="0" collapsed="false">
      <c r="A17" s="27" t="s">
        <v>133</v>
      </c>
      <c r="B17" s="27" t="s"/>
      <c r="C17" s="28" t="n">
        <v>28</v>
      </c>
      <c r="D17" s="29" t="n">
        <v>2974600</v>
      </c>
      <c r="E17" s="30"/>
      <c r="F17" s="31"/>
      <c r="G17" s="77" t="s">
        <v>22</v>
      </c>
      <c r="H17" s="33"/>
      <c r="I17" s="50"/>
      <c r="J17" s="34"/>
      <c r="K17" s="33"/>
      <c r="L17" s="35"/>
      <c r="M17" s="36" t="n">
        <f aca="false">SUM(C17,I17)</f>
        <v>28</v>
      </c>
      <c r="N17" s="37" t="n">
        <f aca="false">SUM(D17,J17)</f>
        <v>2974600</v>
      </c>
      <c r="O17" s="73" t="s">
        <v>134</v>
      </c>
      <c r="P17" s="39" t="s">
        <v>22</v>
      </c>
      <c r="Q17" s="39" t="n">
        <v>1</v>
      </c>
      <c r="R17" s="40" t="n">
        <v>4000</v>
      </c>
      <c r="S17" s="41"/>
      <c r="T17" s="42"/>
      <c r="U17" s="43" t="n">
        <f aca="false">SUM(Q17)</f>
        <v>1</v>
      </c>
      <c r="V17" s="95" t="n">
        <f aca="false">SUM(R17)</f>
        <v>4000</v>
      </c>
      <c r="W17" s="36" t="n">
        <f aca="false">SUM(M17,Q17)</f>
        <v>29</v>
      </c>
      <c r="X17" s="45" t="n">
        <f aca="false">SUM(N17,R17)</f>
        <v>2978600</v>
      </c>
      <c r="Y17" s="46"/>
      <c r="Z17" s="43" t="n">
        <v>2064</v>
      </c>
      <c r="AA17" s="41" t="n">
        <v>2065</v>
      </c>
      <c r="AB17" s="41" t="s">
        <v>133</v>
      </c>
    </row>
    <row r="18" customFormat="false" ht="22.35" hidden="false" customHeight="false" outlineLevel="0" collapsed="false">
      <c r="A18" s="27" t="s">
        <v>135</v>
      </c>
      <c r="B18" s="27" t="s"/>
      <c r="C18" s="28" t="n">
        <v>64</v>
      </c>
      <c r="D18" s="29" t="n">
        <v>1867320</v>
      </c>
      <c r="E18" s="30"/>
      <c r="F18" s="31"/>
      <c r="G18" s="71" t="s">
        <v>136</v>
      </c>
      <c r="H18" s="33" t="s">
        <v>22</v>
      </c>
      <c r="I18" s="50" t="n">
        <v>1</v>
      </c>
      <c r="J18" s="34" t="n">
        <v>79880</v>
      </c>
      <c r="K18" s="33"/>
      <c r="L18" s="35"/>
      <c r="M18" s="36" t="n">
        <f aca="false">SUM(C18,I18)</f>
        <v>65</v>
      </c>
      <c r="N18" s="37" t="n">
        <f aca="false">SUM(D18,J18)</f>
        <v>1947200</v>
      </c>
      <c r="O18" s="73" t="s">
        <v>137</v>
      </c>
      <c r="P18" s="73" t="s">
        <v>138</v>
      </c>
      <c r="Q18" s="39" t="n">
        <v>3</v>
      </c>
      <c r="R18" s="40" t="n">
        <v>39600</v>
      </c>
      <c r="S18" s="41"/>
      <c r="T18" s="42"/>
      <c r="U18" s="43" t="n">
        <f aca="false">SUM(Q18)</f>
        <v>3</v>
      </c>
      <c r="V18" s="95" t="n">
        <f aca="false">SUM(R18)</f>
        <v>39600</v>
      </c>
      <c r="W18" s="36" t="n">
        <f aca="false">SUM(M18,Q18)</f>
        <v>68</v>
      </c>
      <c r="X18" s="45" t="n">
        <f aca="false">SUM(N18,R18)</f>
        <v>1986800</v>
      </c>
      <c r="Y18" s="49"/>
      <c r="Z18" s="43" t="n">
        <v>2074</v>
      </c>
      <c r="AA18" s="41" t="n">
        <v>2075</v>
      </c>
      <c r="AB18" s="41" t="s">
        <v>135</v>
      </c>
    </row>
    <row r="19" customFormat="false" ht="22.35" hidden="false" customHeight="false" outlineLevel="0" collapsed="false">
      <c r="A19" s="27" t="s">
        <v>139</v>
      </c>
      <c r="B19" s="27" t="s"/>
      <c r="C19" s="28" t="n">
        <v>47</v>
      </c>
      <c r="D19" s="29" t="n">
        <v>5795780</v>
      </c>
      <c r="E19" s="30"/>
      <c r="F19" s="31"/>
      <c r="G19" s="76" t="s">
        <v>140</v>
      </c>
      <c r="H19" s="33" t="s">
        <v>22</v>
      </c>
      <c r="I19" s="50" t="n">
        <v>1</v>
      </c>
      <c r="J19" s="34" t="n">
        <v>800</v>
      </c>
      <c r="K19" s="33"/>
      <c r="L19" s="35"/>
      <c r="M19" s="36" t="n">
        <f aca="false">SUM(C19,I19)</f>
        <v>48</v>
      </c>
      <c r="N19" s="37" t="n">
        <f aca="false">SUM(D19,J19)</f>
        <v>5796580</v>
      </c>
      <c r="O19" s="39" t="s">
        <v>22</v>
      </c>
      <c r="P19" s="39"/>
      <c r="Q19" s="39"/>
      <c r="R19" s="40"/>
      <c r="S19" s="41"/>
      <c r="T19" s="42"/>
      <c r="U19" s="43" t="n">
        <f aca="false">SUM(Q19)</f>
        <v>0</v>
      </c>
      <c r="V19" s="95" t="n">
        <f aca="false">SUM(R19)</f>
        <v>0</v>
      </c>
      <c r="W19" s="36" t="n">
        <f aca="false">SUM(M19,Q19)</f>
        <v>48</v>
      </c>
      <c r="X19" s="45" t="n">
        <f aca="false">SUM(N19,R19)</f>
        <v>5796580</v>
      </c>
      <c r="Y19" s="49"/>
      <c r="Z19" s="43" t="n">
        <v>2080</v>
      </c>
      <c r="AA19" s="41"/>
      <c r="AB19" s="41" t="s">
        <v>139</v>
      </c>
    </row>
    <row r="20" customFormat="false" ht="22.35" hidden="false" customHeight="false" outlineLevel="0" collapsed="false">
      <c r="A20" s="27" t="s">
        <v>141</v>
      </c>
      <c r="B20" s="27" t="s"/>
      <c r="C20" s="28" t="n">
        <v>255</v>
      </c>
      <c r="D20" s="29" t="n">
        <v>15347660</v>
      </c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255</v>
      </c>
      <c r="N20" s="37" t="n">
        <f aca="false">SUM(D20,J20)</f>
        <v>15347660</v>
      </c>
      <c r="O20" s="73" t="s">
        <v>142</v>
      </c>
      <c r="P20" s="73" t="s">
        <v>143</v>
      </c>
      <c r="Q20" s="39" t="n">
        <v>4</v>
      </c>
      <c r="R20" s="40" t="n">
        <v>14900</v>
      </c>
      <c r="S20" s="41"/>
      <c r="T20" s="42"/>
      <c r="U20" s="43" t="n">
        <f aca="false">SUM(Q20)</f>
        <v>4</v>
      </c>
      <c r="V20" s="95" t="n">
        <f aca="false">SUM(R20)</f>
        <v>14900</v>
      </c>
      <c r="W20" s="36" t="n">
        <f aca="false">SUM(M20,Q20)</f>
        <v>259</v>
      </c>
      <c r="X20" s="45" t="n">
        <f aca="false">SUM(N20,R20)</f>
        <v>15362560</v>
      </c>
      <c r="Y20" s="46"/>
      <c r="Z20" s="43" t="n">
        <v>2090</v>
      </c>
      <c r="AA20" s="41" t="n">
        <v>2091</v>
      </c>
      <c r="AB20" s="41" t="s">
        <v>141</v>
      </c>
    </row>
    <row r="21" customFormat="false" ht="22.35" hidden="false" customHeight="false" outlineLevel="0" collapsed="false">
      <c r="A21" s="27" t="s">
        <v>144</v>
      </c>
      <c r="B21" s="27" t="s"/>
      <c r="C21" s="28" t="n">
        <v>49</v>
      </c>
      <c r="D21" s="29" t="n">
        <v>7061840</v>
      </c>
      <c r="E21" s="30"/>
      <c r="F21" s="31"/>
      <c r="G21" s="76" t="s">
        <v>145</v>
      </c>
      <c r="H21" s="33" t="s">
        <v>22</v>
      </c>
      <c r="I21" s="50" t="n">
        <v>1</v>
      </c>
      <c r="J21" s="34" t="n">
        <v>200</v>
      </c>
      <c r="K21" s="33"/>
      <c r="L21" s="35"/>
      <c r="M21" s="36" t="n">
        <f aca="false">SUM(C21,I21)</f>
        <v>50</v>
      </c>
      <c r="N21" s="37" t="n">
        <f aca="false">SUM(D21,J21)</f>
        <v>7062040</v>
      </c>
      <c r="O21" s="73" t="s">
        <v>146</v>
      </c>
      <c r="P21" s="39" t="s">
        <v>22</v>
      </c>
      <c r="Q21" s="39" t="n">
        <v>1</v>
      </c>
      <c r="R21" s="40" t="n">
        <v>3800</v>
      </c>
      <c r="S21" s="41"/>
      <c r="T21" s="42"/>
      <c r="U21" s="43" t="n">
        <f aca="false">SUM(Q21)</f>
        <v>1</v>
      </c>
      <c r="V21" s="95" t="n">
        <f aca="false">SUM(R21)</f>
        <v>3800</v>
      </c>
      <c r="W21" s="36" t="n">
        <f aca="false">SUM(M21,Q21)</f>
        <v>51</v>
      </c>
      <c r="X21" s="45" t="n">
        <f aca="false">SUM(N21,R21)</f>
        <v>7065840</v>
      </c>
      <c r="Y21" s="46"/>
      <c r="Z21" s="43" t="n">
        <v>2098</v>
      </c>
      <c r="AA21" s="41" t="n">
        <v>2099</v>
      </c>
      <c r="AB21" s="41" t="s">
        <v>144</v>
      </c>
    </row>
    <row r="22" customFormat="false" ht="22.35" hidden="false" customHeight="false" outlineLevel="0" collapsed="false">
      <c r="A22" s="27" t="s">
        <v>147</v>
      </c>
      <c r="B22" s="27" t="s"/>
      <c r="C22" s="28" t="n">
        <v>294</v>
      </c>
      <c r="D22" s="29" t="n">
        <v>588560</v>
      </c>
      <c r="E22" s="30"/>
      <c r="F22" s="31"/>
      <c r="G22" s="77" t="s">
        <v>22</v>
      </c>
      <c r="H22" s="33"/>
      <c r="I22" s="50"/>
      <c r="J22" s="34"/>
      <c r="K22" s="33"/>
      <c r="L22" s="35"/>
      <c r="M22" s="36" t="n">
        <f aca="false">SUM(C22,I22)</f>
        <v>294</v>
      </c>
      <c r="N22" s="37" t="n">
        <f aca="false">SUM(D22,J22)</f>
        <v>588560</v>
      </c>
      <c r="O22" s="73" t="s">
        <v>148</v>
      </c>
      <c r="P22" s="39" t="s">
        <v>22</v>
      </c>
      <c r="Q22" s="39" t="n">
        <v>1</v>
      </c>
      <c r="R22" s="40" t="n">
        <v>5000</v>
      </c>
      <c r="S22" s="41"/>
      <c r="T22" s="42"/>
      <c r="U22" s="43" t="n">
        <f aca="false">SUM(Q22)</f>
        <v>1</v>
      </c>
      <c r="V22" s="95" t="n">
        <f aca="false">SUM(R22)</f>
        <v>5000</v>
      </c>
      <c r="W22" s="36" t="n">
        <f aca="false">SUM(M22,Q22)</f>
        <v>295</v>
      </c>
      <c r="X22" s="45" t="n">
        <f aca="false">SUM(N22,R22)</f>
        <v>593560</v>
      </c>
      <c r="Y22" s="46"/>
      <c r="Z22" s="43" t="n">
        <v>2105</v>
      </c>
      <c r="AA22" s="41"/>
      <c r="AB22" s="41" t="s">
        <v>147</v>
      </c>
    </row>
    <row r="23" customFormat="false" ht="22.35" hidden="false" customHeight="false" outlineLevel="0" collapsed="false">
      <c r="A23" s="27" t="s">
        <v>149</v>
      </c>
      <c r="B23" s="27" t="s"/>
      <c r="C23" s="28" t="n">
        <v>368</v>
      </c>
      <c r="D23" s="29" t="n">
        <v>749220</v>
      </c>
      <c r="E23" s="30"/>
      <c r="F23" s="31"/>
      <c r="G23" s="76" t="s">
        <v>150</v>
      </c>
      <c r="H23" s="71" t="s">
        <v>151</v>
      </c>
      <c r="I23" s="50" t="n">
        <v>8</v>
      </c>
      <c r="J23" s="34" t="n">
        <v>4000</v>
      </c>
      <c r="K23" s="33"/>
      <c r="L23" s="35"/>
      <c r="M23" s="36" t="n">
        <f aca="false">SUM(C23,I23)</f>
        <v>376</v>
      </c>
      <c r="N23" s="37" t="n">
        <f aca="false">SUM(D23,J23)</f>
        <v>753220</v>
      </c>
      <c r="O23" s="38" t="s">
        <v>22</v>
      </c>
      <c r="P23" s="39"/>
      <c r="Q23" s="39"/>
      <c r="R23" s="40"/>
      <c r="S23" s="41"/>
      <c r="T23" s="42"/>
      <c r="U23" s="43" t="n">
        <f aca="false">SUM(Q23)</f>
        <v>0</v>
      </c>
      <c r="V23" s="95" t="n">
        <f aca="false">SUM(R23)</f>
        <v>0</v>
      </c>
      <c r="W23" s="36" t="n">
        <f aca="false">SUM(M23,Q23)</f>
        <v>376</v>
      </c>
      <c r="X23" s="45" t="n">
        <f aca="false">SUM(N23,R23)</f>
        <v>753220</v>
      </c>
      <c r="Y23" s="46"/>
      <c r="Z23" s="43" t="n">
        <v>2113</v>
      </c>
      <c r="AA23" s="41"/>
      <c r="AB23" s="41" t="s">
        <v>149</v>
      </c>
    </row>
    <row r="24" customFormat="false" ht="24" hidden="false" customHeight="true" outlineLevel="0" collapsed="false">
      <c r="A24" s="27" t="s">
        <v>152</v>
      </c>
      <c r="B24" s="27" t="s"/>
      <c r="C24" s="80" t="n">
        <v>36</v>
      </c>
      <c r="D24" s="81" t="n">
        <v>89660</v>
      </c>
      <c r="E24" s="82"/>
      <c r="F24" s="83"/>
      <c r="G24" s="97" t="s">
        <v>153</v>
      </c>
      <c r="H24" s="98" t="s">
        <v>154</v>
      </c>
      <c r="I24" s="85" t="n">
        <v>11</v>
      </c>
      <c r="J24" s="86" t="n">
        <v>11100</v>
      </c>
      <c r="K24" s="87" t="n">
        <v>1</v>
      </c>
      <c r="L24" s="99" t="s">
        <v>155</v>
      </c>
      <c r="M24" s="36" t="n">
        <f aca="false">SUM(C24,I24)</f>
        <v>47</v>
      </c>
      <c r="N24" s="37" t="n">
        <f aca="false">SUM(D24,J24)</f>
        <v>100760</v>
      </c>
      <c r="O24" s="89" t="s">
        <v>22</v>
      </c>
      <c r="P24" s="90"/>
      <c r="Q24" s="91"/>
      <c r="R24" s="92"/>
      <c r="S24" s="93"/>
      <c r="T24" s="94"/>
      <c r="U24" s="43"/>
      <c r="V24" s="43"/>
      <c r="W24" s="36" t="n">
        <f aca="false">SUM(M24,Q24)</f>
        <v>47</v>
      </c>
      <c r="X24" s="45" t="n">
        <f aca="false">SUM(N24,R24)</f>
        <v>100760</v>
      </c>
      <c r="Y24" s="100"/>
      <c r="Z24" s="43" t="n">
        <v>2122</v>
      </c>
      <c r="AA24" s="41"/>
      <c r="AB24" s="41" t="s">
        <v>152</v>
      </c>
    </row>
    <row r="25" customFormat="false" ht="22.35" hidden="false" customHeight="false" outlineLevel="0" collapsed="false">
      <c r="A25" s="27" t="s">
        <v>156</v>
      </c>
      <c r="B25" s="27" t="s"/>
      <c r="C25" s="80" t="s">
        <v>22</v>
      </c>
      <c r="D25" s="81"/>
      <c r="E25" s="82"/>
      <c r="F25" s="83"/>
      <c r="G25" s="84" t="s">
        <v>22</v>
      </c>
      <c r="H25" s="98"/>
      <c r="I25" s="85"/>
      <c r="J25" s="86"/>
      <c r="K25" s="87"/>
      <c r="L25" s="88"/>
      <c r="M25" s="36" t="n">
        <f aca="false">SUM(C25,I25)</f>
        <v>0</v>
      </c>
      <c r="N25" s="37" t="n">
        <f aca="false">SUM(D25,J25)</f>
        <v>0</v>
      </c>
      <c r="O25" s="89" t="s">
        <v>22</v>
      </c>
      <c r="P25" s="90"/>
      <c r="Q25" s="91"/>
      <c r="R25" s="92"/>
      <c r="S25" s="93"/>
      <c r="T25" s="94"/>
      <c r="U25" s="43" t="n">
        <f aca="false">SUM(Q25)</f>
        <v>0</v>
      </c>
      <c r="V25" s="95" t="n">
        <f aca="false">SUM(R25)</f>
        <v>0</v>
      </c>
      <c r="W25" s="36" t="n">
        <f aca="false">SUM(M25,Q25)</f>
        <v>0</v>
      </c>
      <c r="X25" s="45" t="n">
        <f aca="false">SUM(N25,R25)</f>
        <v>0</v>
      </c>
      <c r="Y25" s="100"/>
      <c r="Z25" s="43" t="n">
        <v>2133</v>
      </c>
      <c r="AA25" s="41"/>
      <c r="AB25" s="41" t="s">
        <v>156</v>
      </c>
    </row>
    <row r="26" customFormat="false" ht="19.7" hidden="false" customHeight="false" outlineLevel="0" collapsed="false">
      <c r="A26" s="52" t="s">
        <v>23</v>
      </c>
      <c r="B26" s="52" t="s"/>
      <c r="C26" s="53" t="n">
        <f aca="false">SUM(C6:C25)</f>
        <v>2276</v>
      </c>
      <c r="D26" s="54" t="n">
        <f aca="false">SUM(D6:D25)</f>
        <v>59251660</v>
      </c>
      <c r="E26" s="55" t="n">
        <f aca="false">SUM(E6:E23)</f>
        <v>0</v>
      </c>
      <c r="F26" s="56" t="n">
        <f aca="false">SUM(F6:F23)</f>
        <v>0</v>
      </c>
      <c r="G26" s="57" t="s">
        <v>23</v>
      </c>
      <c r="H26" s="57"/>
      <c r="I26" s="58" t="n">
        <f aca="false">SUM(I6:I25)</f>
        <v>28</v>
      </c>
      <c r="J26" s="54" t="n">
        <f aca="false">SUM(J6:J25)</f>
        <v>178360</v>
      </c>
      <c r="K26" s="55" t="n">
        <f aca="false">SUM(K6:K23)</f>
        <v>0</v>
      </c>
      <c r="L26" s="56" t="n">
        <f aca="false">SUM(L6:L23)</f>
        <v>0</v>
      </c>
      <c r="M26" s="59" t="n">
        <f aca="false">SUM(M6:M23)</f>
        <v>2257</v>
      </c>
      <c r="N26" s="60" t="n">
        <f aca="false">SUM(N6:N23)</f>
        <v>59329260</v>
      </c>
      <c r="O26" s="57" t="s">
        <v>23</v>
      </c>
      <c r="P26" s="57"/>
      <c r="Q26" s="61" t="n">
        <f aca="false">SUM(Q6:Q25)</f>
        <v>34</v>
      </c>
      <c r="R26" s="62" t="n">
        <f aca="false">SUM(R6:R25)</f>
        <v>134500</v>
      </c>
      <c r="S26" s="55" t="n">
        <f aca="false">SUM(S6:S23)</f>
        <v>2</v>
      </c>
      <c r="T26" s="56" t="n">
        <f aca="false">SUM(T6:T23)</f>
        <v>0</v>
      </c>
      <c r="U26" s="101" t="n">
        <f aca="false">SUM(U6:U23)</f>
        <v>34</v>
      </c>
      <c r="V26" s="102" t="n">
        <f aca="false">SUM(V6:V23)</f>
        <v>134500</v>
      </c>
      <c r="W26" s="59" t="n">
        <f aca="false">SUM(W6:W25)</f>
        <v>2338</v>
      </c>
      <c r="X26" s="65" t="n">
        <f aca="false">SUM(X6:X25)</f>
        <v>59564520</v>
      </c>
      <c r="Y26" s="66"/>
      <c r="Z26" s="67"/>
      <c r="AA26" s="67"/>
      <c r="AB26" s="67"/>
    </row>
    <row r="27" customFormat="false" ht="19.7" hidden="false" customHeight="false" outlineLevel="0" collapsed="false">
      <c r="A27" s="2"/>
      <c r="B27" s="2"/>
      <c r="C27" s="2"/>
      <c r="D27" s="68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9.7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22.35" hidden="false" customHeight="false" outlineLevel="0" collapsed="false">
      <c r="A29" s="2"/>
      <c r="B29" s="2"/>
      <c r="C29" s="2"/>
      <c r="D29" s="3"/>
      <c r="E29" s="2"/>
      <c r="F29" s="2"/>
      <c r="G29" s="2"/>
      <c r="H29" s="2" t="s">
        <v>157</v>
      </c>
      <c r="I29" s="33" t="n">
        <v>1</v>
      </c>
      <c r="J29" s="79" t="s">
        <v>155</v>
      </c>
      <c r="K29" s="103" t="s">
        <v>158</v>
      </c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outlinePr summaryBelow="0"/>
    <pageSetUpPr fitToPage="true"/>
  </sheetPr>
  <dimension ref="A1:AB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159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04" t="s">
        <v>160</v>
      </c>
      <c r="B6" s="104" t="s"/>
      <c r="C6" s="28" t="s">
        <v>22</v>
      </c>
      <c r="D6" s="29"/>
      <c r="E6" s="30"/>
      <c r="F6" s="31"/>
      <c r="G6" s="77"/>
      <c r="H6" s="33"/>
      <c r="I6" s="50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9"/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0</v>
      </c>
      <c r="X6" s="45" t="n">
        <f aca="false">SUM(N6,R6)</f>
        <v>0</v>
      </c>
      <c r="Y6" s="46"/>
      <c r="Z6" s="43"/>
      <c r="AA6" s="41"/>
      <c r="AB6" s="41" t="s">
        <v>160</v>
      </c>
    </row>
    <row r="7" customFormat="false" ht="22.35" hidden="false" customHeight="false" outlineLevel="0" collapsed="false">
      <c r="A7" s="27" t="s">
        <v>161</v>
      </c>
      <c r="B7" s="27" t="s"/>
      <c r="C7" s="28" t="n">
        <v>1</v>
      </c>
      <c r="D7" s="29" t="n">
        <v>2600</v>
      </c>
      <c r="E7" s="30"/>
      <c r="F7" s="31"/>
      <c r="G7" s="77" t="s">
        <v>22</v>
      </c>
      <c r="H7" s="33" t="s">
        <v>22</v>
      </c>
      <c r="I7" s="50"/>
      <c r="J7" s="34"/>
      <c r="K7" s="33"/>
      <c r="L7" s="35"/>
      <c r="M7" s="36" t="n">
        <f aca="false">SUM(C7,I7)</f>
        <v>1</v>
      </c>
      <c r="N7" s="37" t="n">
        <f aca="false">SUM(D7,J7)</f>
        <v>2600</v>
      </c>
      <c r="O7" s="73" t="s">
        <v>162</v>
      </c>
      <c r="P7" s="39" t="s">
        <v>22</v>
      </c>
      <c r="Q7" s="39" t="n">
        <v>1</v>
      </c>
      <c r="R7" s="40" t="n">
        <v>5000</v>
      </c>
      <c r="S7" s="41"/>
      <c r="T7" s="42"/>
      <c r="U7" s="43" t="n">
        <f aca="false">SUM(Q7)</f>
        <v>1</v>
      </c>
      <c r="V7" s="95" t="n">
        <f aca="false">SUM(R7)</f>
        <v>5000</v>
      </c>
      <c r="W7" s="36" t="n">
        <f aca="false">SUM(M7,Q7)</f>
        <v>2</v>
      </c>
      <c r="X7" s="45" t="n">
        <f aca="false">SUM(N7,R7)</f>
        <v>7600</v>
      </c>
      <c r="Y7" s="46"/>
      <c r="Z7" s="43" t="n">
        <v>11</v>
      </c>
      <c r="AA7" s="41" t="s">
        <v>22</v>
      </c>
      <c r="AB7" s="41" t="s">
        <v>161</v>
      </c>
    </row>
    <row r="8" customFormat="false" ht="22.35" hidden="false" customHeight="false" outlineLevel="0" collapsed="false">
      <c r="A8" s="27" t="s">
        <v>163</v>
      </c>
      <c r="B8" s="27" t="s"/>
      <c r="C8" s="28" t="s">
        <v>22</v>
      </c>
      <c r="D8" s="29"/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0</v>
      </c>
      <c r="N8" s="37" t="n">
        <f aca="false">SUM(D8,J8)</f>
        <v>0</v>
      </c>
      <c r="O8" s="73" t="s">
        <v>164</v>
      </c>
      <c r="P8" s="73" t="s">
        <v>165</v>
      </c>
      <c r="Q8" s="39" t="n">
        <v>3</v>
      </c>
      <c r="R8" s="40" t="n">
        <v>11000</v>
      </c>
      <c r="S8" s="41"/>
      <c r="T8" s="42"/>
      <c r="U8" s="43" t="n">
        <f aca="false">SUM(Q8)</f>
        <v>3</v>
      </c>
      <c r="V8" s="95" t="n">
        <f aca="false">SUM(R8)</f>
        <v>11000</v>
      </c>
      <c r="W8" s="36" t="n">
        <f aca="false">SUM(M8,Q8)</f>
        <v>3</v>
      </c>
      <c r="X8" s="45" t="n">
        <f aca="false">SUM(N8,R8)</f>
        <v>11000</v>
      </c>
      <c r="Y8" s="105"/>
      <c r="Z8" s="43" t="n">
        <v>16</v>
      </c>
      <c r="AA8" s="41" t="s">
        <v>22</v>
      </c>
      <c r="AB8" s="41" t="s">
        <v>163</v>
      </c>
    </row>
    <row r="9" customFormat="false" ht="22.35" hidden="false" customHeight="false" outlineLevel="0" collapsed="false">
      <c r="A9" s="27" t="s">
        <v>166</v>
      </c>
      <c r="B9" s="27" t="s"/>
      <c r="C9" s="28" t="s">
        <v>22</v>
      </c>
      <c r="D9" s="29"/>
      <c r="E9" s="30"/>
      <c r="F9" s="31"/>
      <c r="G9" s="76" t="s">
        <v>167</v>
      </c>
      <c r="H9" s="33" t="s">
        <v>22</v>
      </c>
      <c r="I9" s="50" t="n">
        <v>1</v>
      </c>
      <c r="J9" s="34" t="n">
        <v>500</v>
      </c>
      <c r="K9" s="33"/>
      <c r="L9" s="35"/>
      <c r="M9" s="36" t="n">
        <f aca="false">SUM(C9,I9)</f>
        <v>1</v>
      </c>
      <c r="N9" s="37" t="n">
        <f aca="false">SUM(D9,J9)</f>
        <v>500</v>
      </c>
      <c r="O9" s="39" t="s">
        <v>22</v>
      </c>
      <c r="P9" s="39"/>
      <c r="Q9" s="39"/>
      <c r="R9" s="40"/>
      <c r="S9" s="41"/>
      <c r="T9" s="42"/>
      <c r="U9" s="43" t="n">
        <f aca="false">SUM(Q9)</f>
        <v>0</v>
      </c>
      <c r="V9" s="95" t="n">
        <f aca="false">SUM(R9)</f>
        <v>0</v>
      </c>
      <c r="W9" s="36" t="n">
        <f aca="false">SUM(M9,Q9)</f>
        <v>1</v>
      </c>
      <c r="X9" s="45" t="n">
        <f aca="false">SUM(N9,R9)</f>
        <v>500</v>
      </c>
      <c r="Y9" s="46"/>
      <c r="Z9" s="43" t="n">
        <v>23</v>
      </c>
      <c r="AA9" s="41" t="s">
        <v>22</v>
      </c>
      <c r="AB9" s="41" t="s">
        <v>166</v>
      </c>
    </row>
    <row r="10" customFormat="false" ht="22.35" hidden="false" customHeight="false" outlineLevel="0" collapsed="false">
      <c r="A10" s="27" t="s">
        <v>168</v>
      </c>
      <c r="B10" s="27" t="s"/>
      <c r="C10" s="28" t="s">
        <v>22</v>
      </c>
      <c r="D10" s="29"/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73" t="s">
        <v>169</v>
      </c>
      <c r="P10" s="73" t="s">
        <v>170</v>
      </c>
      <c r="Q10" s="39" t="n">
        <v>12</v>
      </c>
      <c r="R10" s="40" t="n">
        <v>67400</v>
      </c>
      <c r="S10" s="41"/>
      <c r="T10" s="42"/>
      <c r="U10" s="43" t="n">
        <f aca="false">SUM(Q10)</f>
        <v>12</v>
      </c>
      <c r="V10" s="95" t="n">
        <f aca="false">SUM(R10)</f>
        <v>67400</v>
      </c>
      <c r="W10" s="36" t="n">
        <f aca="false">SUM(M10,Q10)</f>
        <v>12</v>
      </c>
      <c r="X10" s="45" t="n">
        <f aca="false">SUM(N10,R10)</f>
        <v>67400</v>
      </c>
      <c r="Y10" s="46"/>
      <c r="Z10" s="43" t="n">
        <v>29</v>
      </c>
      <c r="AA10" s="41" t="n">
        <v>30</v>
      </c>
      <c r="AB10" s="41" t="s">
        <v>168</v>
      </c>
    </row>
    <row r="11" customFormat="false" ht="22.35" hidden="false" customHeight="false" outlineLevel="0" collapsed="false">
      <c r="A11" s="27" t="s">
        <v>171</v>
      </c>
      <c r="B11" s="27" t="s"/>
      <c r="C11" s="28" t="n">
        <v>1</v>
      </c>
      <c r="D11" s="29" t="n">
        <v>1000</v>
      </c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1</v>
      </c>
      <c r="N11" s="37" t="n">
        <f aca="false">SUM(D11,J11)</f>
        <v>1000</v>
      </c>
      <c r="O11" s="73" t="s">
        <v>172</v>
      </c>
      <c r="P11" s="73" t="s">
        <v>173</v>
      </c>
      <c r="Q11" s="39" t="n">
        <v>2</v>
      </c>
      <c r="R11" s="40" t="n">
        <v>32100</v>
      </c>
      <c r="S11" s="41"/>
      <c r="T11" s="42"/>
      <c r="U11" s="43" t="n">
        <f aca="false">SUM(Q11)</f>
        <v>2</v>
      </c>
      <c r="V11" s="95" t="n">
        <f aca="false">SUM(R11)</f>
        <v>32100</v>
      </c>
      <c r="W11" s="36" t="n">
        <f aca="false">SUM(M11,Q11)</f>
        <v>3</v>
      </c>
      <c r="X11" s="45" t="n">
        <f aca="false">SUM(N11,R11)</f>
        <v>33100</v>
      </c>
      <c r="Y11" s="46"/>
      <c r="Z11" s="43" t="n">
        <v>40</v>
      </c>
      <c r="AA11" s="41" t="n">
        <v>41</v>
      </c>
      <c r="AB11" s="41" t="s">
        <v>171</v>
      </c>
    </row>
    <row r="12" customFormat="false" ht="22.35" hidden="false" customHeight="false" outlineLevel="0" collapsed="false">
      <c r="A12" s="27" t="s">
        <v>174</v>
      </c>
      <c r="B12" s="27" t="s"/>
      <c r="C12" s="28" t="n">
        <v>2</v>
      </c>
      <c r="D12" s="29" t="n">
        <v>1000</v>
      </c>
      <c r="E12" s="30"/>
      <c r="F12" s="31"/>
      <c r="G12" s="76" t="s">
        <v>175</v>
      </c>
      <c r="H12" s="33" t="s">
        <v>22</v>
      </c>
      <c r="I12" s="50" t="n">
        <v>1</v>
      </c>
      <c r="J12" s="34" t="n">
        <v>200</v>
      </c>
      <c r="K12" s="33"/>
      <c r="L12" s="35"/>
      <c r="M12" s="36" t="n">
        <f aca="false">SUM(C12,I12)</f>
        <v>3</v>
      </c>
      <c r="N12" s="37" t="n">
        <f aca="false">SUM(D12,J12)</f>
        <v>1200</v>
      </c>
      <c r="O12" s="73" t="s">
        <v>176</v>
      </c>
      <c r="P12" s="73" t="s">
        <v>177</v>
      </c>
      <c r="Q12" s="39" t="n">
        <v>5</v>
      </c>
      <c r="R12" s="40" t="n">
        <v>105300</v>
      </c>
      <c r="S12" s="41"/>
      <c r="T12" s="42"/>
      <c r="U12" s="43" t="n">
        <f aca="false">SUM(Q12)</f>
        <v>5</v>
      </c>
      <c r="V12" s="95" t="n">
        <f aca="false">SUM(R12)</f>
        <v>105300</v>
      </c>
      <c r="W12" s="36" t="n">
        <f aca="false">SUM(M12,Q12)</f>
        <v>8</v>
      </c>
      <c r="X12" s="45" t="n">
        <f aca="false">SUM(N12,R12)</f>
        <v>106500</v>
      </c>
      <c r="Y12" s="46"/>
      <c r="Z12" s="43" t="n">
        <v>47</v>
      </c>
      <c r="AA12" s="41" t="s">
        <v>22</v>
      </c>
      <c r="AB12" s="41" t="s">
        <v>174</v>
      </c>
    </row>
    <row r="13" customFormat="false" ht="22.35" hidden="false" customHeight="false" outlineLevel="0" collapsed="false">
      <c r="A13" s="27" t="s">
        <v>178</v>
      </c>
      <c r="B13" s="27" t="s"/>
      <c r="C13" s="28" t="n">
        <v>5</v>
      </c>
      <c r="D13" s="29" t="n">
        <v>83280</v>
      </c>
      <c r="E13" s="30"/>
      <c r="F13" s="31"/>
      <c r="G13" s="76" t="s">
        <v>179</v>
      </c>
      <c r="H13" s="33" t="s">
        <v>22</v>
      </c>
      <c r="I13" s="50" t="n">
        <v>1</v>
      </c>
      <c r="J13" s="34" t="n">
        <v>200</v>
      </c>
      <c r="K13" s="33"/>
      <c r="L13" s="35"/>
      <c r="M13" s="36" t="n">
        <f aca="false">SUM(C13,I13)</f>
        <v>6</v>
      </c>
      <c r="N13" s="37" t="n">
        <f aca="false">SUM(D13,J13)</f>
        <v>83480</v>
      </c>
      <c r="O13" s="73" t="s">
        <v>180</v>
      </c>
      <c r="P13" s="73" t="s">
        <v>181</v>
      </c>
      <c r="Q13" s="39" t="n">
        <v>2</v>
      </c>
      <c r="R13" s="40" t="n">
        <v>190000</v>
      </c>
      <c r="S13" s="41"/>
      <c r="T13" s="42"/>
      <c r="U13" s="43" t="n">
        <f aca="false">SUM(Q13)</f>
        <v>2</v>
      </c>
      <c r="V13" s="95" t="n">
        <f aca="false">SUM(R13)</f>
        <v>190000</v>
      </c>
      <c r="W13" s="36" t="n">
        <f aca="false">SUM(M13,Q13)</f>
        <v>8</v>
      </c>
      <c r="X13" s="45" t="n">
        <f aca="false">SUM(N13,R13)</f>
        <v>273480</v>
      </c>
      <c r="Y13" s="46"/>
      <c r="Z13" s="43" t="n">
        <v>52</v>
      </c>
      <c r="AA13" s="41" t="n">
        <v>53</v>
      </c>
      <c r="AB13" s="41" t="s">
        <v>178</v>
      </c>
    </row>
    <row r="14" customFormat="false" ht="22.35" hidden="false" customHeight="false" outlineLevel="0" collapsed="false">
      <c r="A14" s="27" t="s">
        <v>182</v>
      </c>
      <c r="B14" s="27" t="s"/>
      <c r="C14" s="28" t="s">
        <v>22</v>
      </c>
      <c r="D14" s="29"/>
      <c r="E14" s="30"/>
      <c r="F14" s="31"/>
      <c r="G14" s="76" t="s">
        <v>183</v>
      </c>
      <c r="H14" s="71" t="s">
        <v>184</v>
      </c>
      <c r="I14" s="50" t="n">
        <v>2</v>
      </c>
      <c r="J14" s="34" t="n">
        <v>3960</v>
      </c>
      <c r="K14" s="33"/>
      <c r="L14" s="35"/>
      <c r="M14" s="36" t="n">
        <f aca="false">SUM(C14,I14)</f>
        <v>2</v>
      </c>
      <c r="N14" s="37" t="n">
        <f aca="false">SUM(D14,J14)</f>
        <v>3960</v>
      </c>
      <c r="O14" s="73" t="s">
        <v>185</v>
      </c>
      <c r="P14" s="73" t="s">
        <v>186</v>
      </c>
      <c r="Q14" s="39" t="n">
        <v>2</v>
      </c>
      <c r="R14" s="40" t="n">
        <v>130000</v>
      </c>
      <c r="S14" s="41"/>
      <c r="T14" s="42"/>
      <c r="U14" s="43" t="n">
        <f aca="false">SUM(Q14)</f>
        <v>2</v>
      </c>
      <c r="V14" s="95" t="n">
        <f aca="false">SUM(R14)</f>
        <v>130000</v>
      </c>
      <c r="W14" s="36" t="n">
        <f aca="false">SUM(M14,Q14)</f>
        <v>4</v>
      </c>
      <c r="X14" s="45" t="n">
        <f aca="false">SUM(N14,R14)</f>
        <v>133960</v>
      </c>
      <c r="Y14" s="46"/>
      <c r="Z14" s="43" t="n">
        <v>60</v>
      </c>
      <c r="AA14" s="41" t="s">
        <v>22</v>
      </c>
      <c r="AB14" s="41" t="s">
        <v>182</v>
      </c>
    </row>
    <row r="15" customFormat="false" ht="22.35" hidden="false" customHeight="false" outlineLevel="0" collapsed="false">
      <c r="A15" s="27" t="s">
        <v>187</v>
      </c>
      <c r="B15" s="27" t="s"/>
      <c r="C15" s="28" t="n">
        <v>2</v>
      </c>
      <c r="D15" s="29" t="n">
        <v>134160</v>
      </c>
      <c r="E15" s="30"/>
      <c r="F15" s="31"/>
      <c r="G15" s="76" t="s">
        <v>188</v>
      </c>
      <c r="H15" s="33" t="s">
        <v>22</v>
      </c>
      <c r="I15" s="50" t="n">
        <v>1</v>
      </c>
      <c r="J15" s="34" t="n">
        <v>2600</v>
      </c>
      <c r="K15" s="33"/>
      <c r="L15" s="35"/>
      <c r="M15" s="36" t="n">
        <f aca="false">SUM(C15,I15)</f>
        <v>3</v>
      </c>
      <c r="N15" s="37" t="n">
        <f aca="false">SUM(D15,J15)</f>
        <v>136760</v>
      </c>
      <c r="O15" s="73" t="s">
        <v>189</v>
      </c>
      <c r="P15" s="73" t="s">
        <v>190</v>
      </c>
      <c r="Q15" s="39" t="n">
        <v>7</v>
      </c>
      <c r="R15" s="40" t="n">
        <v>222300</v>
      </c>
      <c r="S15" s="41"/>
      <c r="T15" s="42"/>
      <c r="U15" s="43" t="n">
        <f aca="false">SUM(Q15)</f>
        <v>7</v>
      </c>
      <c r="V15" s="95" t="n">
        <f aca="false">SUM(R15)</f>
        <v>222300</v>
      </c>
      <c r="W15" s="36" t="n">
        <f aca="false">SUM(M15,Q15)</f>
        <v>10</v>
      </c>
      <c r="X15" s="45" t="n">
        <f aca="false">SUM(N15,R15)</f>
        <v>359060</v>
      </c>
      <c r="Y15" s="46"/>
      <c r="Z15" s="43" t="n">
        <v>70</v>
      </c>
      <c r="AA15" s="41" t="n">
        <v>71</v>
      </c>
      <c r="AB15" s="41" t="s">
        <v>187</v>
      </c>
    </row>
    <row r="16" customFormat="false" ht="22.35" hidden="false" customHeight="false" outlineLevel="0" collapsed="false">
      <c r="A16" s="27" t="s">
        <v>191</v>
      </c>
      <c r="B16" s="27" t="s"/>
      <c r="C16" s="28" t="n">
        <v>5</v>
      </c>
      <c r="D16" s="29" t="n">
        <v>146840</v>
      </c>
      <c r="E16" s="30"/>
      <c r="F16" s="31"/>
      <c r="G16" s="77" t="s">
        <v>22</v>
      </c>
      <c r="H16" s="87" t="s">
        <v>22</v>
      </c>
      <c r="I16" s="50" t="s">
        <v>22</v>
      </c>
      <c r="J16" s="34" t="s">
        <v>22</v>
      </c>
      <c r="K16" s="33"/>
      <c r="L16" s="35"/>
      <c r="M16" s="36" t="n">
        <f aca="false">SUM(C16,I16)</f>
        <v>5</v>
      </c>
      <c r="N16" s="37" t="n">
        <f aca="false">SUM(D16,J16)</f>
        <v>146840</v>
      </c>
      <c r="O16" s="73" t="s">
        <v>192</v>
      </c>
      <c r="P16" s="73" t="s">
        <v>193</v>
      </c>
      <c r="Q16" s="39" t="n">
        <v>261</v>
      </c>
      <c r="R16" s="40" t="n">
        <v>669400</v>
      </c>
      <c r="S16" s="41"/>
      <c r="T16" s="42"/>
      <c r="U16" s="43" t="n">
        <f aca="false">SUM(Q16)</f>
        <v>261</v>
      </c>
      <c r="V16" s="95" t="n">
        <f aca="false">SUM(R16)</f>
        <v>669400</v>
      </c>
      <c r="W16" s="36" t="n">
        <f aca="false">SUM(M16,Q16)</f>
        <v>266</v>
      </c>
      <c r="X16" s="45" t="n">
        <f aca="false">SUM(N16,R16)</f>
        <v>816240</v>
      </c>
      <c r="Y16" s="46"/>
      <c r="Z16" s="43" t="n">
        <v>76</v>
      </c>
      <c r="AA16" s="41" t="s">
        <v>22</v>
      </c>
      <c r="AB16" s="41" t="s">
        <v>191</v>
      </c>
    </row>
    <row r="17" customFormat="false" ht="22.35" hidden="false" customHeight="false" outlineLevel="0" collapsed="false">
      <c r="A17" s="27" t="s">
        <v>194</v>
      </c>
      <c r="B17" s="27" t="s"/>
      <c r="C17" s="28" t="n">
        <v>31</v>
      </c>
      <c r="D17" s="29" t="n">
        <v>20500</v>
      </c>
      <c r="E17" s="30"/>
      <c r="F17" s="31"/>
      <c r="G17" s="76" t="s">
        <v>195</v>
      </c>
      <c r="H17" s="71" t="s">
        <v>196</v>
      </c>
      <c r="I17" s="50" t="n">
        <v>2</v>
      </c>
      <c r="J17" s="34" t="n">
        <v>2300</v>
      </c>
      <c r="K17" s="33"/>
      <c r="L17" s="35"/>
      <c r="M17" s="36" t="n">
        <f aca="false">SUM(C17,I17)</f>
        <v>33</v>
      </c>
      <c r="N17" s="37" t="n">
        <f aca="false">SUM(D17,J17)</f>
        <v>22800</v>
      </c>
      <c r="O17" s="73" t="s">
        <v>197</v>
      </c>
      <c r="P17" s="73" t="s">
        <v>198</v>
      </c>
      <c r="Q17" s="39" t="n">
        <v>198</v>
      </c>
      <c r="R17" s="40" t="n">
        <v>392900</v>
      </c>
      <c r="S17" s="41"/>
      <c r="T17" s="42"/>
      <c r="U17" s="43" t="n">
        <f aca="false">SUM(Q17)</f>
        <v>198</v>
      </c>
      <c r="V17" s="95" t="n">
        <f aca="false">SUM(R17)</f>
        <v>392900</v>
      </c>
      <c r="W17" s="36" t="n">
        <f aca="false">SUM(M17,Q17)</f>
        <v>231</v>
      </c>
      <c r="X17" s="45" t="n">
        <f aca="false">SUM(N17,R17)</f>
        <v>415700</v>
      </c>
      <c r="Y17" s="46"/>
      <c r="Z17" s="43" t="n">
        <v>84</v>
      </c>
      <c r="AA17" s="41" t="n">
        <v>85</v>
      </c>
      <c r="AB17" s="41" t="s">
        <v>194</v>
      </c>
    </row>
    <row r="18" customFormat="false" ht="22.35" hidden="false" customHeight="false" outlineLevel="0" collapsed="false">
      <c r="A18" s="27" t="s">
        <v>199</v>
      </c>
      <c r="B18" s="27" t="s"/>
      <c r="C18" s="28" t="n">
        <v>1</v>
      </c>
      <c r="D18" s="29" t="n">
        <v>800</v>
      </c>
      <c r="E18" s="30"/>
      <c r="F18" s="31"/>
      <c r="G18" s="71" t="s">
        <v>200</v>
      </c>
      <c r="H18" s="106" t="s">
        <v>22</v>
      </c>
      <c r="I18" s="50" t="n">
        <v>1</v>
      </c>
      <c r="J18" s="34" t="n">
        <v>1800</v>
      </c>
      <c r="K18" s="33"/>
      <c r="L18" s="35"/>
      <c r="M18" s="36" t="n">
        <f aca="false">SUM(C18,I18)</f>
        <v>2</v>
      </c>
      <c r="N18" s="37" t="n">
        <f aca="false">SUM(D18,J18)</f>
        <v>2600</v>
      </c>
      <c r="O18" s="73" t="s">
        <v>201</v>
      </c>
      <c r="P18" s="73" t="s">
        <v>202</v>
      </c>
      <c r="Q18" s="39" t="n">
        <v>394</v>
      </c>
      <c r="R18" s="40" t="n">
        <v>937300</v>
      </c>
      <c r="S18" s="41"/>
      <c r="T18" s="42"/>
      <c r="U18" s="43" t="n">
        <f aca="false">SUM(Q18)</f>
        <v>394</v>
      </c>
      <c r="V18" s="95" t="n">
        <f aca="false">SUM(R18)</f>
        <v>937300</v>
      </c>
      <c r="W18" s="36" t="n">
        <f aca="false">SUM(M18,Q18)</f>
        <v>396</v>
      </c>
      <c r="X18" s="45" t="n">
        <f aca="false">SUM(N18,R18)</f>
        <v>939900</v>
      </c>
      <c r="Y18" s="49"/>
      <c r="Z18" s="43" t="n">
        <v>89</v>
      </c>
      <c r="AA18" s="41" t="n">
        <v>90</v>
      </c>
      <c r="AB18" s="41" t="s">
        <v>199</v>
      </c>
    </row>
    <row r="19" customFormat="false" ht="22.35" hidden="false" customHeight="false" outlineLevel="0" collapsed="false">
      <c r="A19" s="27" t="s">
        <v>203</v>
      </c>
      <c r="B19" s="27" t="s"/>
      <c r="C19" s="28" t="n">
        <v>1</v>
      </c>
      <c r="D19" s="29" t="n">
        <v>800</v>
      </c>
      <c r="E19" s="30"/>
      <c r="F19" s="31"/>
      <c r="G19" s="76" t="s">
        <v>204</v>
      </c>
      <c r="H19" s="33" t="s">
        <v>22</v>
      </c>
      <c r="I19" s="50" t="n">
        <v>1</v>
      </c>
      <c r="J19" s="34" t="n">
        <v>2100</v>
      </c>
      <c r="K19" s="33"/>
      <c r="L19" s="35"/>
      <c r="M19" s="36" t="n">
        <f aca="false">SUM(C19,I19)</f>
        <v>2</v>
      </c>
      <c r="N19" s="37" t="n">
        <f aca="false">SUM(D19,J19)</f>
        <v>2900</v>
      </c>
      <c r="O19" s="73" t="s">
        <v>205</v>
      </c>
      <c r="P19" s="73" t="s">
        <v>206</v>
      </c>
      <c r="Q19" s="39" t="n">
        <v>368</v>
      </c>
      <c r="R19" s="40" t="n">
        <v>664800</v>
      </c>
      <c r="S19" s="41"/>
      <c r="T19" s="42"/>
      <c r="U19" s="43" t="n">
        <f aca="false">SUM(Q19)</f>
        <v>368</v>
      </c>
      <c r="V19" s="95" t="n">
        <f aca="false">SUM(R19)</f>
        <v>664800</v>
      </c>
      <c r="W19" s="36" t="n">
        <f aca="false">SUM(M19,Q19)</f>
        <v>370</v>
      </c>
      <c r="X19" s="45" t="n">
        <f aca="false">SUM(N19,R19)</f>
        <v>667700</v>
      </c>
      <c r="Y19" s="49"/>
      <c r="Z19" s="43" t="n">
        <v>99</v>
      </c>
      <c r="AA19" s="41"/>
      <c r="AB19" s="41" t="s">
        <v>203</v>
      </c>
    </row>
    <row r="20" customFormat="false" ht="22.35" hidden="false" customHeight="false" outlineLevel="0" collapsed="false">
      <c r="A20" s="27" t="s">
        <v>207</v>
      </c>
      <c r="B20" s="27" t="s"/>
      <c r="C20" s="28" t="n">
        <v>18</v>
      </c>
      <c r="D20" s="29" t="n">
        <v>124580</v>
      </c>
      <c r="E20" s="30"/>
      <c r="F20" s="31"/>
      <c r="G20" s="76" t="s">
        <v>208</v>
      </c>
      <c r="H20" s="33" t="s">
        <v>22</v>
      </c>
      <c r="I20" s="50" t="n">
        <v>1</v>
      </c>
      <c r="J20" s="34" t="n">
        <v>3400</v>
      </c>
      <c r="K20" s="33"/>
      <c r="L20" s="35"/>
      <c r="M20" s="36" t="n">
        <f aca="false">SUM(C20,I20)</f>
        <v>19</v>
      </c>
      <c r="N20" s="37" t="n">
        <f aca="false">SUM(D20,J20)</f>
        <v>127980</v>
      </c>
      <c r="O20" s="73" t="s">
        <v>209</v>
      </c>
      <c r="P20" s="73" t="s">
        <v>210</v>
      </c>
      <c r="Q20" s="39" t="n">
        <v>405</v>
      </c>
      <c r="R20" s="40" t="n">
        <v>938300</v>
      </c>
      <c r="S20" s="41"/>
      <c r="T20" s="42"/>
      <c r="U20" s="43" t="n">
        <f aca="false">SUM(Q20)</f>
        <v>405</v>
      </c>
      <c r="V20" s="95" t="n">
        <f aca="false">SUM(R20)</f>
        <v>938300</v>
      </c>
      <c r="W20" s="36" t="n">
        <f aca="false">SUM(M20,Q20)</f>
        <v>424</v>
      </c>
      <c r="X20" s="45" t="n">
        <f aca="false">SUM(N20,R20)</f>
        <v>1066280</v>
      </c>
      <c r="Y20" s="46"/>
      <c r="Z20" s="43" t="n">
        <v>106</v>
      </c>
      <c r="AA20" s="41" t="n">
        <v>107</v>
      </c>
      <c r="AB20" s="41" t="s">
        <v>207</v>
      </c>
    </row>
    <row r="21" customFormat="false" ht="22.35" hidden="false" customHeight="false" outlineLevel="0" collapsed="false">
      <c r="A21" s="27" t="s">
        <v>211</v>
      </c>
      <c r="B21" s="27" t="s"/>
      <c r="C21" s="28" t="n">
        <v>2</v>
      </c>
      <c r="D21" s="29" t="n">
        <v>583520</v>
      </c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2</v>
      </c>
      <c r="N21" s="37" t="n">
        <f aca="false">SUM(D21,J21)</f>
        <v>583520</v>
      </c>
      <c r="O21" s="73" t="s">
        <v>212</v>
      </c>
      <c r="P21" s="73" t="s">
        <v>213</v>
      </c>
      <c r="Q21" s="39" t="n">
        <v>3</v>
      </c>
      <c r="R21" s="40" t="n">
        <v>194900</v>
      </c>
      <c r="S21" s="41"/>
      <c r="T21" s="42"/>
      <c r="U21" s="43" t="n">
        <f aca="false">SUM(Q21)</f>
        <v>3</v>
      </c>
      <c r="V21" s="95" t="n">
        <f aca="false">SUM(R21)</f>
        <v>194900</v>
      </c>
      <c r="W21" s="36" t="n">
        <f aca="false">SUM(M21,Q21)</f>
        <v>5</v>
      </c>
      <c r="X21" s="45" t="n">
        <f aca="false">SUM(N21,R21)</f>
        <v>778420</v>
      </c>
      <c r="Y21" s="46"/>
      <c r="Z21" s="43" t="n">
        <v>114</v>
      </c>
      <c r="AA21" s="41" t="n">
        <v>115</v>
      </c>
      <c r="AB21" s="41" t="s">
        <v>211</v>
      </c>
    </row>
    <row r="22" customFormat="false" ht="22.35" hidden="false" customHeight="false" outlineLevel="0" collapsed="false">
      <c r="A22" s="27" t="s">
        <v>214</v>
      </c>
      <c r="B22" s="27" t="s"/>
      <c r="C22" s="28" t="n">
        <v>2</v>
      </c>
      <c r="D22" s="29" t="n">
        <v>231360</v>
      </c>
      <c r="E22" s="30"/>
      <c r="F22" s="31"/>
      <c r="G22" s="77" t="s">
        <v>22</v>
      </c>
      <c r="H22" s="33"/>
      <c r="I22" s="50"/>
      <c r="J22" s="34"/>
      <c r="K22" s="33"/>
      <c r="L22" s="35"/>
      <c r="M22" s="36" t="n">
        <f aca="false">SUM(C22,I22)</f>
        <v>2</v>
      </c>
      <c r="N22" s="37" t="n">
        <f aca="false">SUM(D22,J22)</f>
        <v>231360</v>
      </c>
      <c r="O22" s="73" t="s">
        <v>215</v>
      </c>
      <c r="P22" s="73" t="s">
        <v>216</v>
      </c>
      <c r="Q22" s="39" t="n">
        <v>8</v>
      </c>
      <c r="R22" s="40" t="n">
        <v>399600</v>
      </c>
      <c r="S22" s="41"/>
      <c r="T22" s="42"/>
      <c r="U22" s="43" t="n">
        <f aca="false">SUM(Q22)</f>
        <v>8</v>
      </c>
      <c r="V22" s="95" t="n">
        <f aca="false">SUM(R22)</f>
        <v>399600</v>
      </c>
      <c r="W22" s="36" t="n">
        <f aca="false">SUM(M22,Q22)</f>
        <v>10</v>
      </c>
      <c r="X22" s="45" t="n">
        <f aca="false">SUM(N22,R22)</f>
        <v>630960</v>
      </c>
      <c r="Y22" s="46"/>
      <c r="Z22" s="43" t="n">
        <v>126</v>
      </c>
      <c r="AA22" s="41"/>
      <c r="AB22" s="41" t="s">
        <v>214</v>
      </c>
    </row>
    <row r="23" customFormat="false" ht="22.35" hidden="false" customHeight="false" outlineLevel="0" collapsed="false">
      <c r="A23" s="27" t="s">
        <v>217</v>
      </c>
      <c r="B23" s="27" t="s"/>
      <c r="C23" s="28" t="s">
        <v>22</v>
      </c>
      <c r="D23" s="29"/>
      <c r="E23" s="30"/>
      <c r="F23" s="31"/>
      <c r="G23" s="76" t="s">
        <v>218</v>
      </c>
      <c r="H23" s="33" t="s">
        <v>22</v>
      </c>
      <c r="I23" s="50" t="n">
        <v>1</v>
      </c>
      <c r="J23" s="34" t="n">
        <v>500</v>
      </c>
      <c r="K23" s="33"/>
      <c r="L23" s="35"/>
      <c r="M23" s="36" t="n">
        <f aca="false">SUM(C23,I23)</f>
        <v>1</v>
      </c>
      <c r="N23" s="37" t="n">
        <f aca="false">SUM(D23,J23)</f>
        <v>500</v>
      </c>
      <c r="O23" s="72" t="s">
        <v>219</v>
      </c>
      <c r="P23" s="73" t="s">
        <v>220</v>
      </c>
      <c r="Q23" s="39" t="n">
        <v>2</v>
      </c>
      <c r="R23" s="40" t="n">
        <v>34800</v>
      </c>
      <c r="S23" s="41"/>
      <c r="T23" s="42"/>
      <c r="U23" s="43" t="n">
        <f aca="false">SUM(Q23)</f>
        <v>2</v>
      </c>
      <c r="V23" s="95" t="n">
        <f aca="false">SUM(R23)</f>
        <v>34800</v>
      </c>
      <c r="W23" s="36" t="n">
        <f aca="false">SUM(M23,Q23)</f>
        <v>3</v>
      </c>
      <c r="X23" s="45" t="n">
        <f aca="false">SUM(N23,R23)</f>
        <v>35300</v>
      </c>
      <c r="Y23" s="46"/>
      <c r="Z23" s="43" t="n">
        <v>129</v>
      </c>
      <c r="AA23" s="41" t="n">
        <v>130</v>
      </c>
      <c r="AB23" s="41" t="s">
        <v>217</v>
      </c>
    </row>
    <row r="24" customFormat="false" ht="22.35" hidden="false" customHeight="false" outlineLevel="0" collapsed="false">
      <c r="A24" s="27" t="s">
        <v>221</v>
      </c>
      <c r="B24" s="27" t="s"/>
      <c r="C24" s="80" t="n">
        <v>13</v>
      </c>
      <c r="D24" s="81" t="n">
        <v>22400</v>
      </c>
      <c r="E24" s="82"/>
      <c r="F24" s="83"/>
      <c r="G24" s="84" t="s">
        <v>22</v>
      </c>
      <c r="H24" s="98"/>
      <c r="I24" s="85"/>
      <c r="J24" s="86"/>
      <c r="K24" s="87"/>
      <c r="L24" s="88"/>
      <c r="M24" s="36" t="n">
        <f aca="false">SUM(C24,I24)</f>
        <v>13</v>
      </c>
      <c r="N24" s="37" t="n">
        <f aca="false">SUM(D24,J24)</f>
        <v>22400</v>
      </c>
      <c r="O24" s="107" t="s">
        <v>222</v>
      </c>
      <c r="P24" s="90" t="s">
        <v>22</v>
      </c>
      <c r="Q24" s="91" t="n">
        <v>1</v>
      </c>
      <c r="R24" s="92" t="n">
        <v>5000</v>
      </c>
      <c r="S24" s="93"/>
      <c r="T24" s="94"/>
      <c r="U24" s="43"/>
      <c r="V24" s="43"/>
      <c r="W24" s="36" t="n">
        <f aca="false">SUM(M24,Q24)</f>
        <v>14</v>
      </c>
      <c r="X24" s="45" t="n">
        <f aca="false">SUM(N24,R24)</f>
        <v>27400</v>
      </c>
      <c r="Y24" s="100"/>
      <c r="Z24" s="43" t="n">
        <v>136</v>
      </c>
      <c r="AA24" s="41"/>
      <c r="AB24" s="41" t="s">
        <v>221</v>
      </c>
    </row>
    <row r="25" customFormat="false" ht="22.35" hidden="false" customHeight="false" outlineLevel="0" collapsed="false">
      <c r="A25" s="27" t="s">
        <v>223</v>
      </c>
      <c r="B25" s="27" t="s"/>
      <c r="C25" s="80" t="n">
        <v>2</v>
      </c>
      <c r="D25" s="81" t="n">
        <v>2260</v>
      </c>
      <c r="E25" s="82"/>
      <c r="F25" s="83"/>
      <c r="G25" s="97" t="s">
        <v>224</v>
      </c>
      <c r="H25" s="108" t="s">
        <v>22</v>
      </c>
      <c r="I25" s="85" t="n">
        <v>1</v>
      </c>
      <c r="J25" s="86" t="n">
        <v>500</v>
      </c>
      <c r="K25" s="87"/>
      <c r="L25" s="88"/>
      <c r="M25" s="36" t="n">
        <f aca="false">SUM(C25,I25)</f>
        <v>3</v>
      </c>
      <c r="N25" s="37" t="n">
        <f aca="false">SUM(D25,J25)</f>
        <v>2760</v>
      </c>
      <c r="O25" s="107" t="s">
        <v>225</v>
      </c>
      <c r="P25" s="109" t="s">
        <v>226</v>
      </c>
      <c r="Q25" s="91" t="n">
        <v>15</v>
      </c>
      <c r="R25" s="92" t="n">
        <v>166400</v>
      </c>
      <c r="S25" s="93"/>
      <c r="T25" s="94"/>
      <c r="U25" s="43"/>
      <c r="V25" s="43"/>
      <c r="W25" s="36" t="n">
        <f aca="false">SUM(M25,Q25)</f>
        <v>18</v>
      </c>
      <c r="X25" s="45" t="n">
        <f aca="false">SUM(N25,R25)</f>
        <v>169160</v>
      </c>
      <c r="Y25" s="100"/>
      <c r="Z25" s="43" t="n">
        <v>147</v>
      </c>
      <c r="AA25" s="41" t="n">
        <v>148</v>
      </c>
      <c r="AB25" s="41" t="s">
        <v>223</v>
      </c>
    </row>
    <row r="26" customFormat="false" ht="19.7" hidden="false" customHeight="false" outlineLevel="0" collapsed="false">
      <c r="A26" s="52" t="s">
        <v>23</v>
      </c>
      <c r="B26" s="52" t="s"/>
      <c r="C26" s="53" t="n">
        <f aca="false">SUM(C6:C25)</f>
        <v>86</v>
      </c>
      <c r="D26" s="54" t="n">
        <f aca="false">SUM(D6:D25)</f>
        <v>1355100</v>
      </c>
      <c r="E26" s="55" t="n">
        <f aca="false">SUM(E6:E23)</f>
        <v>0</v>
      </c>
      <c r="F26" s="56" t="n">
        <f aca="false">SUM(F6:F23)</f>
        <v>0</v>
      </c>
      <c r="G26" s="57" t="s">
        <v>23</v>
      </c>
      <c r="H26" s="57"/>
      <c r="I26" s="58" t="n">
        <f aca="false">SUM(I6:I25)</f>
        <v>13</v>
      </c>
      <c r="J26" s="54" t="n">
        <f aca="false">SUM(J6:J25)</f>
        <v>18060</v>
      </c>
      <c r="K26" s="55" t="n">
        <f aca="false">SUM(K6:K23)</f>
        <v>0</v>
      </c>
      <c r="L26" s="56"/>
      <c r="M26" s="59" t="n">
        <f aca="false">SUM(M6:M23)</f>
        <v>83</v>
      </c>
      <c r="N26" s="60" t="n">
        <f aca="false">SUM(N6:N23)</f>
        <v>1348000</v>
      </c>
      <c r="O26" s="57" t="s">
        <v>23</v>
      </c>
      <c r="P26" s="57"/>
      <c r="Q26" s="61" t="n">
        <f aca="false">SUM(Q6:Q25)</f>
        <v>1689</v>
      </c>
      <c r="R26" s="62" t="n">
        <f aca="false">SUM(R6:R25)</f>
        <v>5166500</v>
      </c>
      <c r="S26" s="55" t="n">
        <f aca="false">SUM(S6:S23)</f>
        <v>0</v>
      </c>
      <c r="T26" s="56" t="n">
        <f aca="false">SUM(T6:T23)</f>
        <v>0</v>
      </c>
      <c r="U26" s="101" t="n">
        <f aca="false">SUM(U6:U23)</f>
        <v>1673</v>
      </c>
      <c r="V26" s="102" t="n">
        <f aca="false">SUM(V6:V23)</f>
        <v>4995100</v>
      </c>
      <c r="W26" s="59" t="n">
        <f aca="false">SUM(W6:W25)</f>
        <v>1788</v>
      </c>
      <c r="X26" s="65" t="n">
        <f aca="false">SUM(X6:X25)</f>
        <v>6539660</v>
      </c>
      <c r="Y26" s="66"/>
      <c r="Z26" s="67"/>
      <c r="AA26" s="67"/>
      <c r="AB26" s="67"/>
    </row>
    <row r="27" customFormat="false" ht="15.75" hidden="false" customHeight="false" outlineLevel="0" collapsed="false">
      <c r="A27" s="2"/>
      <c r="B27" s="2"/>
      <c r="C27" s="2"/>
      <c r="D27" s="68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outlinePr summaryBelow="0"/>
    <pageSetUpPr fitToPage="true"/>
  </sheetPr>
  <dimension ref="A1:AB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7" min="7" style="0" width="14.88"/>
    <col collapsed="false" customWidth="true" hidden="false" outlineLevel="0" max="8" min="8" style="0" width="16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227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228</v>
      </c>
      <c r="B6" s="110" t="s"/>
      <c r="C6" s="28" t="n">
        <v>1</v>
      </c>
      <c r="D6" s="29" t="n">
        <v>71320</v>
      </c>
      <c r="E6" s="30"/>
      <c r="F6" s="31"/>
      <c r="G6" s="77" t="s">
        <v>22</v>
      </c>
      <c r="H6" s="33"/>
      <c r="I6" s="50"/>
      <c r="J6" s="34"/>
      <c r="K6" s="33"/>
      <c r="L6" s="35"/>
      <c r="M6" s="36" t="n">
        <f aca="false">SUM(C6,I6)</f>
        <v>1</v>
      </c>
      <c r="N6" s="37" t="n">
        <f aca="false">SUM(D6,J6)</f>
        <v>71320</v>
      </c>
      <c r="O6" s="73" t="s">
        <v>229</v>
      </c>
      <c r="P6" s="73" t="s">
        <v>230</v>
      </c>
      <c r="Q6" s="39" t="n">
        <v>3</v>
      </c>
      <c r="R6" s="40" t="n">
        <v>210000</v>
      </c>
      <c r="S6" s="41"/>
      <c r="T6" s="42"/>
      <c r="U6" s="43" t="n">
        <f aca="false">SUM(Q6)</f>
        <v>3</v>
      </c>
      <c r="V6" s="95" t="n">
        <f aca="false">SUM(R6)</f>
        <v>210000</v>
      </c>
      <c r="W6" s="36" t="n">
        <f aca="false">SUM(M6,Q6)</f>
        <v>4</v>
      </c>
      <c r="X6" s="45" t="n">
        <f aca="false">SUM(N6,R6)</f>
        <v>281320</v>
      </c>
      <c r="Y6" s="46"/>
      <c r="Z6" s="43" t="n">
        <v>155</v>
      </c>
      <c r="AA6" s="41"/>
      <c r="AB6" s="41" t="s">
        <v>228</v>
      </c>
    </row>
    <row r="7" customFormat="false" ht="22.35" hidden="false" customHeight="false" outlineLevel="0" collapsed="false">
      <c r="A7" s="110" t="s">
        <v>231</v>
      </c>
      <c r="B7" s="110" t="s"/>
      <c r="C7" s="28" t="n">
        <v>1</v>
      </c>
      <c r="D7" s="29" t="n">
        <v>1675160</v>
      </c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1</v>
      </c>
      <c r="N7" s="37" t="n">
        <f aca="false">SUM(D7,J7)</f>
        <v>1675160</v>
      </c>
      <c r="O7" s="73" t="s">
        <v>232</v>
      </c>
      <c r="P7" s="73" t="s">
        <v>233</v>
      </c>
      <c r="Q7" s="39" t="n">
        <v>4</v>
      </c>
      <c r="R7" s="40" t="n">
        <v>310000</v>
      </c>
      <c r="S7" s="41"/>
      <c r="T7" s="42"/>
      <c r="U7" s="43" t="n">
        <f aca="false">SUM(Q7)</f>
        <v>4</v>
      </c>
      <c r="V7" s="95" t="n">
        <f aca="false">SUM(R7)</f>
        <v>310000</v>
      </c>
      <c r="W7" s="36" t="n">
        <f aca="false">SUM(M7,Q7)</f>
        <v>5</v>
      </c>
      <c r="X7" s="45" t="n">
        <f aca="false">SUM(N7,R7)</f>
        <v>1985160</v>
      </c>
      <c r="Y7" s="46"/>
      <c r="Z7" s="43" t="n">
        <v>163</v>
      </c>
      <c r="AA7" s="41"/>
      <c r="AB7" s="41" t="s">
        <v>231</v>
      </c>
    </row>
    <row r="8" customFormat="false" ht="22.35" hidden="false" customHeight="false" outlineLevel="0" collapsed="false">
      <c r="A8" s="110" t="s">
        <v>234</v>
      </c>
      <c r="B8" s="110" t="s"/>
      <c r="C8" s="28" t="n">
        <v>2</v>
      </c>
      <c r="D8" s="29" t="n">
        <v>8646020</v>
      </c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2</v>
      </c>
      <c r="N8" s="37" t="n">
        <f aca="false">SUM(D8,J8)</f>
        <v>8646020</v>
      </c>
      <c r="O8" s="73" t="s">
        <v>235</v>
      </c>
      <c r="P8" s="73" t="s">
        <v>236</v>
      </c>
      <c r="Q8" s="39" t="n">
        <v>2</v>
      </c>
      <c r="R8" s="40" t="n">
        <v>7700</v>
      </c>
      <c r="S8" s="41"/>
      <c r="T8" s="42"/>
      <c r="U8" s="43" t="n">
        <f aca="false">SUM(Q8)</f>
        <v>2</v>
      </c>
      <c r="V8" s="95" t="n">
        <f aca="false">SUM(R8)</f>
        <v>7700</v>
      </c>
      <c r="W8" s="36" t="n">
        <f aca="false">SUM(M8,Q8)</f>
        <v>4</v>
      </c>
      <c r="X8" s="45" t="n">
        <f aca="false">SUM(N8,R8)</f>
        <v>8653720</v>
      </c>
      <c r="Y8" s="105"/>
      <c r="Z8" s="43" t="n">
        <v>168</v>
      </c>
      <c r="AA8" s="41"/>
      <c r="AB8" s="41" t="s">
        <v>234</v>
      </c>
    </row>
    <row r="9" customFormat="false" ht="22.35" hidden="false" customHeight="false" outlineLevel="0" collapsed="false">
      <c r="A9" s="110" t="s">
        <v>237</v>
      </c>
      <c r="B9" s="110" t="s"/>
      <c r="C9" s="28" t="n">
        <v>2</v>
      </c>
      <c r="D9" s="29" t="n">
        <v>312820</v>
      </c>
      <c r="E9" s="30"/>
      <c r="F9" s="31"/>
      <c r="G9" s="77" t="s">
        <v>22</v>
      </c>
      <c r="H9" s="33"/>
      <c r="I9" s="50"/>
      <c r="J9" s="34"/>
      <c r="K9" s="33"/>
      <c r="L9" s="35"/>
      <c r="M9" s="36" t="n">
        <f aca="false">SUM(C9,I9)</f>
        <v>2</v>
      </c>
      <c r="N9" s="37" t="n">
        <f aca="false">SUM(D9,J9)</f>
        <v>312820</v>
      </c>
      <c r="O9" s="73" t="s">
        <v>238</v>
      </c>
      <c r="P9" s="73" t="s">
        <v>239</v>
      </c>
      <c r="Q9" s="39" t="n">
        <v>24</v>
      </c>
      <c r="R9" s="40" t="n">
        <v>403800</v>
      </c>
      <c r="S9" s="41"/>
      <c r="T9" s="42"/>
      <c r="U9" s="43" t="n">
        <f aca="false">SUM(Q9)</f>
        <v>24</v>
      </c>
      <c r="V9" s="95" t="n">
        <f aca="false">SUM(R9)</f>
        <v>403800</v>
      </c>
      <c r="W9" s="36" t="n">
        <f aca="false">SUM(M9,Q9)</f>
        <v>26</v>
      </c>
      <c r="X9" s="45" t="n">
        <f aca="false">SUM(N9,R9)</f>
        <v>716620</v>
      </c>
      <c r="Y9" s="46"/>
      <c r="Z9" s="43" t="n">
        <v>178</v>
      </c>
      <c r="AA9" s="41" t="n">
        <v>179</v>
      </c>
      <c r="AB9" s="41" t="s">
        <v>237</v>
      </c>
    </row>
    <row r="10" customFormat="false" ht="22.35" hidden="false" customHeight="false" outlineLevel="0" collapsed="false">
      <c r="A10" s="110" t="s">
        <v>240</v>
      </c>
      <c r="B10" s="110" t="s"/>
      <c r="C10" s="28" t="n">
        <v>3</v>
      </c>
      <c r="D10" s="29" t="n">
        <v>124120</v>
      </c>
      <c r="E10" s="30"/>
      <c r="F10" s="31"/>
      <c r="G10" s="76" t="s">
        <v>241</v>
      </c>
      <c r="H10" s="33" t="s">
        <v>22</v>
      </c>
      <c r="I10" s="50" t="n">
        <v>1</v>
      </c>
      <c r="J10" s="34" t="n">
        <v>500</v>
      </c>
      <c r="K10" s="33"/>
      <c r="L10" s="35"/>
      <c r="M10" s="36" t="n">
        <f aca="false">SUM(C10,I10)</f>
        <v>4</v>
      </c>
      <c r="N10" s="37" t="n">
        <f aca="false">SUM(D10,J10)</f>
        <v>124620</v>
      </c>
      <c r="O10" s="73" t="s">
        <v>242</v>
      </c>
      <c r="P10" s="73" t="s">
        <v>243</v>
      </c>
      <c r="Q10" s="39" t="n">
        <v>17</v>
      </c>
      <c r="R10" s="40" t="n">
        <v>375600</v>
      </c>
      <c r="S10" s="41"/>
      <c r="T10" s="42"/>
      <c r="U10" s="43" t="n">
        <f aca="false">SUM(Q10)</f>
        <v>17</v>
      </c>
      <c r="V10" s="95" t="n">
        <f aca="false">SUM(R10)</f>
        <v>375600</v>
      </c>
      <c r="W10" s="36" t="n">
        <f aca="false">SUM(M10,Q10)</f>
        <v>21</v>
      </c>
      <c r="X10" s="45" t="n">
        <f aca="false">SUM(N10,R10)</f>
        <v>500220</v>
      </c>
      <c r="Y10" s="46"/>
      <c r="Z10" s="43" t="n">
        <v>184</v>
      </c>
      <c r="AA10" s="41"/>
      <c r="AB10" s="41" t="s">
        <v>240</v>
      </c>
    </row>
    <row r="11" customFormat="false" ht="22.35" hidden="false" customHeight="false" outlineLevel="0" collapsed="false">
      <c r="A11" s="110" t="s">
        <v>244</v>
      </c>
      <c r="B11" s="110" t="s"/>
      <c r="C11" s="28" t="n">
        <v>1</v>
      </c>
      <c r="D11" s="29" t="n">
        <v>1700</v>
      </c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1</v>
      </c>
      <c r="N11" s="37" t="n">
        <f aca="false">SUM(D11,J11)</f>
        <v>1700</v>
      </c>
      <c r="O11" s="73" t="s">
        <v>245</v>
      </c>
      <c r="P11" s="39" t="s">
        <v>22</v>
      </c>
      <c r="Q11" s="39" t="n">
        <v>1</v>
      </c>
      <c r="R11" s="40" t="n">
        <v>30000</v>
      </c>
      <c r="S11" s="41"/>
      <c r="T11" s="42"/>
      <c r="U11" s="43" t="n">
        <f aca="false">SUM(Q11)</f>
        <v>1</v>
      </c>
      <c r="V11" s="95" t="n">
        <f aca="false">SUM(R11)</f>
        <v>30000</v>
      </c>
      <c r="W11" s="36" t="n">
        <f aca="false">SUM(M11,Q11)</f>
        <v>2</v>
      </c>
      <c r="X11" s="45" t="n">
        <f aca="false">SUM(N11,R11)</f>
        <v>31700</v>
      </c>
      <c r="Y11" s="46"/>
      <c r="Z11" s="43" t="n">
        <v>192</v>
      </c>
      <c r="AA11" s="41"/>
      <c r="AB11" s="41" t="s">
        <v>244</v>
      </c>
    </row>
    <row r="12" customFormat="false" ht="22.35" hidden="false" customHeight="false" outlineLevel="0" collapsed="false">
      <c r="A12" s="110" t="s">
        <v>246</v>
      </c>
      <c r="B12" s="110" t="s"/>
      <c r="C12" s="28" t="n">
        <v>3</v>
      </c>
      <c r="D12" s="29" t="n">
        <v>12600</v>
      </c>
      <c r="E12" s="30"/>
      <c r="F12" s="31"/>
      <c r="G12" s="76" t="s">
        <v>247</v>
      </c>
      <c r="H12" s="33" t="s">
        <v>22</v>
      </c>
      <c r="I12" s="50" t="n">
        <v>1</v>
      </c>
      <c r="J12" s="34" t="n">
        <v>1800</v>
      </c>
      <c r="K12" s="33"/>
      <c r="L12" s="35"/>
      <c r="M12" s="36" t="n">
        <f aca="false">SUM(C12,I12)</f>
        <v>4</v>
      </c>
      <c r="N12" s="37" t="n">
        <f aca="false">SUM(D12,J12)</f>
        <v>14400</v>
      </c>
      <c r="O12" s="73" t="s">
        <v>248</v>
      </c>
      <c r="P12" s="73" t="s">
        <v>249</v>
      </c>
      <c r="Q12" s="39" t="n">
        <v>7</v>
      </c>
      <c r="R12" s="40" t="n">
        <v>252000</v>
      </c>
      <c r="S12" s="41"/>
      <c r="T12" s="42"/>
      <c r="U12" s="43" t="n">
        <f aca="false">SUM(Q12)</f>
        <v>7</v>
      </c>
      <c r="V12" s="95" t="n">
        <f aca="false">SUM(R12)</f>
        <v>252000</v>
      </c>
      <c r="W12" s="36" t="n">
        <f aca="false">SUM(M12,Q12)</f>
        <v>11</v>
      </c>
      <c r="X12" s="45" t="n">
        <f aca="false">SUM(N12,R12)</f>
        <v>266400</v>
      </c>
      <c r="Y12" s="46"/>
      <c r="Z12" s="43" t="n">
        <v>203</v>
      </c>
      <c r="AA12" s="41" t="n">
        <v>204</v>
      </c>
      <c r="AB12" s="41" t="s">
        <v>246</v>
      </c>
    </row>
    <row r="13" customFormat="false" ht="22.35" hidden="false" customHeight="false" outlineLevel="0" collapsed="false">
      <c r="A13" s="110" t="s">
        <v>250</v>
      </c>
      <c r="B13" s="110" t="s"/>
      <c r="C13" s="28" t="n">
        <v>41</v>
      </c>
      <c r="D13" s="29" t="n">
        <v>73000</v>
      </c>
      <c r="E13" s="30"/>
      <c r="F13" s="31"/>
      <c r="G13" s="76" t="s">
        <v>251</v>
      </c>
      <c r="H13" s="71" t="s">
        <v>252</v>
      </c>
      <c r="I13" s="50" t="n">
        <v>3</v>
      </c>
      <c r="J13" s="34" t="n">
        <v>600</v>
      </c>
      <c r="K13" s="33"/>
      <c r="L13" s="35"/>
      <c r="M13" s="36" t="n">
        <f aca="false">SUM(C13,I13)</f>
        <v>44</v>
      </c>
      <c r="N13" s="37" t="n">
        <f aca="false">SUM(D13,J13)</f>
        <v>73600</v>
      </c>
      <c r="O13" s="73" t="s">
        <v>253</v>
      </c>
      <c r="P13" s="73" t="s">
        <v>254</v>
      </c>
      <c r="Q13" s="39" t="n">
        <v>2</v>
      </c>
      <c r="R13" s="40" t="n">
        <v>81000</v>
      </c>
      <c r="S13" s="41"/>
      <c r="T13" s="42"/>
      <c r="U13" s="43" t="n">
        <f aca="false">SUM(Q13)</f>
        <v>2</v>
      </c>
      <c r="V13" s="95" t="n">
        <f aca="false">SUM(R13)</f>
        <v>81000</v>
      </c>
      <c r="W13" s="36" t="n">
        <f aca="false">SUM(M13,Q13)</f>
        <v>46</v>
      </c>
      <c r="X13" s="45" t="n">
        <f aca="false">SUM(N13,R13)</f>
        <v>154600</v>
      </c>
      <c r="Y13" s="46"/>
      <c r="Z13" s="43" t="n">
        <v>212</v>
      </c>
      <c r="AA13" s="41"/>
      <c r="AB13" s="41" t="s">
        <v>255</v>
      </c>
    </row>
    <row r="14" customFormat="false" ht="22.35" hidden="false" customHeight="false" outlineLevel="0" collapsed="false">
      <c r="A14" s="110" t="s">
        <v>256</v>
      </c>
      <c r="B14" s="110" t="s"/>
      <c r="C14" s="28" t="s">
        <v>22</v>
      </c>
      <c r="D14" s="29"/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0</v>
      </c>
      <c r="N14" s="37" t="n">
        <f aca="false">SUM(D14,J14)</f>
        <v>0</v>
      </c>
      <c r="O14" s="73" t="s">
        <v>257</v>
      </c>
      <c r="P14" s="73" t="s">
        <v>258</v>
      </c>
      <c r="Q14" s="39" t="n">
        <v>3</v>
      </c>
      <c r="R14" s="40" t="n">
        <v>100000</v>
      </c>
      <c r="S14" s="41"/>
      <c r="T14" s="42"/>
      <c r="U14" s="43" t="n">
        <f aca="false">SUM(Q14)</f>
        <v>3</v>
      </c>
      <c r="V14" s="95" t="n">
        <f aca="false">SUM(R14)</f>
        <v>100000</v>
      </c>
      <c r="W14" s="36" t="n">
        <f aca="false">SUM(M14,Q14)</f>
        <v>3</v>
      </c>
      <c r="X14" s="45" t="n">
        <f aca="false">SUM(N14,R14)</f>
        <v>100000</v>
      </c>
      <c r="Y14" s="46"/>
      <c r="Z14" s="43" t="n">
        <v>215</v>
      </c>
      <c r="AA14" s="41"/>
      <c r="AB14" s="41" t="s">
        <v>256</v>
      </c>
    </row>
    <row r="15" customFormat="false" ht="22.35" hidden="false" customHeight="false" outlineLevel="0" collapsed="false">
      <c r="A15" s="110" t="s">
        <v>259</v>
      </c>
      <c r="B15" s="110" t="s"/>
      <c r="C15" s="28" t="n">
        <v>38</v>
      </c>
      <c r="D15" s="29" t="n">
        <v>68800</v>
      </c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38</v>
      </c>
      <c r="N15" s="37" t="n">
        <f aca="false">SUM(D15,J15)</f>
        <v>68800</v>
      </c>
      <c r="O15" s="73" t="s">
        <v>260</v>
      </c>
      <c r="P15" s="73" t="s">
        <v>261</v>
      </c>
      <c r="Q15" s="39" t="n">
        <v>6</v>
      </c>
      <c r="R15" s="40" t="n">
        <v>185100</v>
      </c>
      <c r="S15" s="41"/>
      <c r="T15" s="42"/>
      <c r="U15" s="43" t="n">
        <f aca="false">SUM(Q15)</f>
        <v>6</v>
      </c>
      <c r="V15" s="95" t="n">
        <f aca="false">SUM(R15)</f>
        <v>185100</v>
      </c>
      <c r="W15" s="36" t="n">
        <f aca="false">SUM(M15,Q15)</f>
        <v>44</v>
      </c>
      <c r="X15" s="45" t="n">
        <f aca="false">SUM(N15,R15)</f>
        <v>253900</v>
      </c>
      <c r="Y15" s="46"/>
      <c r="Z15" s="43" t="n">
        <v>223</v>
      </c>
      <c r="AA15" s="41"/>
      <c r="AB15" s="41" t="s">
        <v>259</v>
      </c>
    </row>
    <row r="16" customFormat="false" ht="22.35" hidden="false" customHeight="false" outlineLevel="0" collapsed="false">
      <c r="A16" s="110" t="s">
        <v>262</v>
      </c>
      <c r="B16" s="110" t="s"/>
      <c r="C16" s="28" t="n">
        <v>2</v>
      </c>
      <c r="D16" s="29" t="n">
        <v>1000</v>
      </c>
      <c r="E16" s="30"/>
      <c r="F16" s="31"/>
      <c r="G16" s="76" t="s">
        <v>263</v>
      </c>
      <c r="H16" s="87" t="s">
        <v>22</v>
      </c>
      <c r="I16" s="50" t="n">
        <v>1</v>
      </c>
      <c r="J16" s="34" t="n">
        <v>500</v>
      </c>
      <c r="K16" s="33"/>
      <c r="L16" s="35"/>
      <c r="M16" s="36" t="n">
        <f aca="false">SUM(C16,I16)</f>
        <v>3</v>
      </c>
      <c r="N16" s="37" t="n">
        <f aca="false">SUM(D16,J16)</f>
        <v>1500</v>
      </c>
      <c r="O16" s="73" t="s">
        <v>264</v>
      </c>
      <c r="P16" s="73" t="s">
        <v>265</v>
      </c>
      <c r="Q16" s="39" t="n">
        <v>4</v>
      </c>
      <c r="R16" s="40" t="n">
        <v>35500</v>
      </c>
      <c r="S16" s="41"/>
      <c r="T16" s="42"/>
      <c r="U16" s="43" t="n">
        <f aca="false">SUM(Q16)</f>
        <v>4</v>
      </c>
      <c r="V16" s="95" t="n">
        <f aca="false">SUM(R16)</f>
        <v>35500</v>
      </c>
      <c r="W16" s="36" t="n">
        <f aca="false">SUM(M16,Q16)</f>
        <v>7</v>
      </c>
      <c r="X16" s="45" t="n">
        <f aca="false">SUM(N16,R16)</f>
        <v>37000</v>
      </c>
      <c r="Y16" s="46"/>
      <c r="Z16" s="43" t="n">
        <v>228</v>
      </c>
      <c r="AA16" s="41"/>
      <c r="AB16" s="41" t="s">
        <v>262</v>
      </c>
    </row>
    <row r="17" customFormat="false" ht="22.35" hidden="false" customHeight="false" outlineLevel="0" collapsed="false">
      <c r="A17" s="110" t="s">
        <v>266</v>
      </c>
      <c r="B17" s="110" t="s"/>
      <c r="C17" s="28" t="n">
        <v>1</v>
      </c>
      <c r="D17" s="29" t="n">
        <v>200</v>
      </c>
      <c r="E17" s="30"/>
      <c r="F17" s="31"/>
      <c r="G17" s="77" t="s">
        <v>22</v>
      </c>
      <c r="H17" s="33"/>
      <c r="I17" s="50"/>
      <c r="J17" s="34"/>
      <c r="K17" s="33"/>
      <c r="L17" s="35"/>
      <c r="M17" s="36" t="n">
        <f aca="false">SUM(C17,I17)</f>
        <v>1</v>
      </c>
      <c r="N17" s="37" t="n">
        <f aca="false">SUM(D17,J17)</f>
        <v>200</v>
      </c>
      <c r="O17" s="73" t="s">
        <v>267</v>
      </c>
      <c r="P17" s="39" t="s">
        <v>22</v>
      </c>
      <c r="Q17" s="39" t="n">
        <v>1</v>
      </c>
      <c r="R17" s="40" t="n">
        <v>90000</v>
      </c>
      <c r="S17" s="41"/>
      <c r="T17" s="42"/>
      <c r="U17" s="43" t="n">
        <f aca="false">SUM(Q17)</f>
        <v>1</v>
      </c>
      <c r="V17" s="95" t="n">
        <f aca="false">SUM(R17)</f>
        <v>90000</v>
      </c>
      <c r="W17" s="36" t="n">
        <f aca="false">SUM(M17,Q17)</f>
        <v>2</v>
      </c>
      <c r="X17" s="45" t="n">
        <f aca="false">SUM(N17,R17)</f>
        <v>90200</v>
      </c>
      <c r="Y17" s="46"/>
      <c r="Z17" s="43" t="n">
        <v>237</v>
      </c>
      <c r="AA17" s="41"/>
      <c r="AB17" s="41" t="s">
        <v>266</v>
      </c>
    </row>
    <row r="18" customFormat="false" ht="22.35" hidden="false" customHeight="false" outlineLevel="0" collapsed="false">
      <c r="A18" s="110" t="s">
        <v>268</v>
      </c>
      <c r="B18" s="110" t="s"/>
      <c r="C18" s="28" t="n">
        <v>3</v>
      </c>
      <c r="D18" s="29" t="n">
        <v>75800</v>
      </c>
      <c r="E18" s="30"/>
      <c r="F18" s="31"/>
      <c r="G18" s="71" t="s">
        <v>269</v>
      </c>
      <c r="H18" s="111" t="s">
        <v>270</v>
      </c>
      <c r="I18" s="50" t="n">
        <v>2</v>
      </c>
      <c r="J18" s="34" t="n">
        <v>1000</v>
      </c>
      <c r="K18" s="33"/>
      <c r="L18" s="35"/>
      <c r="M18" s="36" t="n">
        <f aca="false">SUM(C18,I18)</f>
        <v>5</v>
      </c>
      <c r="N18" s="37" t="n">
        <f aca="false">SUM(D18,J18)</f>
        <v>76800</v>
      </c>
      <c r="O18" s="73" t="s">
        <v>271</v>
      </c>
      <c r="P18" s="73" t="s">
        <v>272</v>
      </c>
      <c r="Q18" s="39" t="n">
        <v>2</v>
      </c>
      <c r="R18" s="40" t="n">
        <v>93400</v>
      </c>
      <c r="S18" s="41"/>
      <c r="T18" s="42"/>
      <c r="U18" s="43" t="n">
        <f aca="false">SUM(Q18)</f>
        <v>2</v>
      </c>
      <c r="V18" s="95" t="n">
        <f aca="false">SUM(R18)</f>
        <v>93400</v>
      </c>
      <c r="W18" s="36" t="n">
        <f aca="false">SUM(M18,Q18)</f>
        <v>7</v>
      </c>
      <c r="X18" s="45" t="n">
        <f aca="false">SUM(N18,R18)</f>
        <v>170200</v>
      </c>
      <c r="Y18" s="49"/>
      <c r="Z18" s="43" t="n">
        <v>243</v>
      </c>
      <c r="AA18" s="41" t="n">
        <v>244</v>
      </c>
      <c r="AB18" s="41" t="s">
        <v>268</v>
      </c>
    </row>
    <row r="19" customFormat="false" ht="22.35" hidden="false" customHeight="false" outlineLevel="0" collapsed="false">
      <c r="A19" s="110" t="s">
        <v>273</v>
      </c>
      <c r="B19" s="110" t="s"/>
      <c r="C19" s="28" t="s">
        <v>22</v>
      </c>
      <c r="D19" s="29"/>
      <c r="E19" s="30"/>
      <c r="F19" s="31"/>
      <c r="G19" s="76" t="s">
        <v>274</v>
      </c>
      <c r="H19" s="33" t="s">
        <v>22</v>
      </c>
      <c r="I19" s="50" t="n">
        <v>1</v>
      </c>
      <c r="J19" s="34" t="n">
        <v>500</v>
      </c>
      <c r="K19" s="33"/>
      <c r="L19" s="35"/>
      <c r="M19" s="36" t="n">
        <f aca="false">SUM(C19,I19)</f>
        <v>1</v>
      </c>
      <c r="N19" s="37" t="n">
        <f aca="false">SUM(D19,J19)</f>
        <v>500</v>
      </c>
      <c r="O19" s="73" t="s">
        <v>275</v>
      </c>
      <c r="P19" s="73" t="s">
        <v>276</v>
      </c>
      <c r="Q19" s="39" t="n">
        <v>4</v>
      </c>
      <c r="R19" s="40" t="n">
        <v>37000</v>
      </c>
      <c r="S19" s="41"/>
      <c r="T19" s="42"/>
      <c r="U19" s="43" t="n">
        <f aca="false">SUM(Q19)</f>
        <v>4</v>
      </c>
      <c r="V19" s="95" t="n">
        <f aca="false">SUM(R19)</f>
        <v>37000</v>
      </c>
      <c r="W19" s="36" t="n">
        <f aca="false">SUM(M19,Q19)</f>
        <v>5</v>
      </c>
      <c r="X19" s="45" t="n">
        <f aca="false">SUM(N19,R19)</f>
        <v>37500</v>
      </c>
      <c r="Y19" s="49"/>
      <c r="Z19" s="43" t="n">
        <v>249</v>
      </c>
      <c r="AA19" s="41" t="n">
        <v>250</v>
      </c>
      <c r="AB19" s="41" t="s">
        <v>273</v>
      </c>
    </row>
    <row r="20" customFormat="false" ht="22.35" hidden="false" customHeight="false" outlineLevel="0" collapsed="false">
      <c r="A20" s="110" t="s">
        <v>277</v>
      </c>
      <c r="B20" s="110" t="s"/>
      <c r="C20" s="28" t="n">
        <v>6</v>
      </c>
      <c r="D20" s="29" t="n">
        <v>1236830</v>
      </c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6</v>
      </c>
      <c r="N20" s="37" t="n">
        <f aca="false">SUM(D20,J20)</f>
        <v>1236830</v>
      </c>
      <c r="O20" s="73" t="s">
        <v>278</v>
      </c>
      <c r="P20" s="73" t="s">
        <v>279</v>
      </c>
      <c r="Q20" s="39" t="n">
        <v>100</v>
      </c>
      <c r="R20" s="40" t="n">
        <v>844500</v>
      </c>
      <c r="S20" s="41"/>
      <c r="T20" s="42"/>
      <c r="U20" s="43" t="n">
        <f aca="false">SUM(Q20)</f>
        <v>100</v>
      </c>
      <c r="V20" s="95" t="n">
        <f aca="false">SUM(R20)</f>
        <v>844500</v>
      </c>
      <c r="W20" s="36" t="n">
        <f aca="false">SUM(M20,Q20)</f>
        <v>106</v>
      </c>
      <c r="X20" s="45" t="n">
        <f aca="false">SUM(N20,R20)</f>
        <v>2081330</v>
      </c>
      <c r="Y20" s="46"/>
      <c r="Z20" s="43" t="n">
        <v>260</v>
      </c>
      <c r="AA20" s="41"/>
      <c r="AB20" s="41" t="s">
        <v>277</v>
      </c>
    </row>
    <row r="21" customFormat="false" ht="22.35" hidden="false" customHeight="false" outlineLevel="0" collapsed="false">
      <c r="A21" s="110" t="s">
        <v>280</v>
      </c>
      <c r="B21" s="110" t="s"/>
      <c r="C21" s="28" t="n">
        <v>1</v>
      </c>
      <c r="D21" s="29" t="n">
        <v>500</v>
      </c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1</v>
      </c>
      <c r="N21" s="37" t="n">
        <f aca="false">SUM(D21,J21)</f>
        <v>500</v>
      </c>
      <c r="O21" s="73" t="s">
        <v>281</v>
      </c>
      <c r="P21" s="73" t="s">
        <v>282</v>
      </c>
      <c r="Q21" s="39" t="n">
        <v>231</v>
      </c>
      <c r="R21" s="40" t="n">
        <v>778000</v>
      </c>
      <c r="S21" s="41" t="n">
        <v>4</v>
      </c>
      <c r="T21" s="96" t="s">
        <v>283</v>
      </c>
      <c r="U21" s="43" t="n">
        <f aca="false">SUM(Q21)</f>
        <v>231</v>
      </c>
      <c r="V21" s="95" t="n">
        <f aca="false">SUM(R21)</f>
        <v>778000</v>
      </c>
      <c r="W21" s="36" t="n">
        <f aca="false">SUM(M21,Q21)</f>
        <v>232</v>
      </c>
      <c r="X21" s="45" t="n">
        <f aca="false">SUM(N21,R21)</f>
        <v>778500</v>
      </c>
      <c r="Y21" s="46"/>
      <c r="Z21" s="43" t="n">
        <v>267</v>
      </c>
      <c r="AA21" s="41"/>
      <c r="AB21" s="41" t="s">
        <v>280</v>
      </c>
    </row>
    <row r="22" customFormat="false" ht="22.35" hidden="false" customHeight="false" outlineLevel="0" collapsed="false">
      <c r="A22" s="110" t="s">
        <v>284</v>
      </c>
      <c r="B22" s="110" t="s"/>
      <c r="C22" s="28" t="s">
        <v>22</v>
      </c>
      <c r="D22" s="29"/>
      <c r="E22" s="30"/>
      <c r="F22" s="31"/>
      <c r="G22" s="76" t="s">
        <v>285</v>
      </c>
      <c r="H22" s="33" t="s">
        <v>22</v>
      </c>
      <c r="I22" s="50" t="n">
        <v>1</v>
      </c>
      <c r="J22" s="34" t="n">
        <v>200</v>
      </c>
      <c r="K22" s="33"/>
      <c r="L22" s="35"/>
      <c r="M22" s="36" t="n">
        <f aca="false">SUM(C22,I22)</f>
        <v>1</v>
      </c>
      <c r="N22" s="37" t="n">
        <f aca="false">SUM(D22,J22)</f>
        <v>200</v>
      </c>
      <c r="O22" s="73" t="s">
        <v>286</v>
      </c>
      <c r="P22" s="73" t="s">
        <v>287</v>
      </c>
      <c r="Q22" s="39" t="n">
        <v>67</v>
      </c>
      <c r="R22" s="40" t="n">
        <v>234600</v>
      </c>
      <c r="S22" s="41"/>
      <c r="T22" s="42"/>
      <c r="U22" s="43" t="n">
        <f aca="false">SUM(Q22)</f>
        <v>67</v>
      </c>
      <c r="V22" s="95" t="n">
        <f aca="false">SUM(R22)</f>
        <v>234600</v>
      </c>
      <c r="W22" s="36" t="n">
        <f aca="false">SUM(M22,Q22)</f>
        <v>68</v>
      </c>
      <c r="X22" s="45" t="n">
        <f aca="false">SUM(N22,R22)</f>
        <v>234800</v>
      </c>
      <c r="Y22" s="46"/>
      <c r="Z22" s="43" t="n">
        <v>274</v>
      </c>
      <c r="AA22" s="41" t="n">
        <v>275</v>
      </c>
      <c r="AB22" s="41" t="s">
        <v>284</v>
      </c>
    </row>
    <row r="23" customFormat="false" ht="22.35" hidden="false" customHeight="false" outlineLevel="0" collapsed="false">
      <c r="A23" s="110" t="s">
        <v>288</v>
      </c>
      <c r="B23" s="110" t="s"/>
      <c r="C23" s="28" t="s">
        <v>22</v>
      </c>
      <c r="D23" s="29"/>
      <c r="E23" s="30"/>
      <c r="F23" s="31"/>
      <c r="G23" s="77" t="s">
        <v>22</v>
      </c>
      <c r="H23" s="33"/>
      <c r="I23" s="50"/>
      <c r="J23" s="34"/>
      <c r="K23" s="33"/>
      <c r="L23" s="35"/>
      <c r="M23" s="36" t="n">
        <f aca="false">SUM(C23,I23)</f>
        <v>0</v>
      </c>
      <c r="N23" s="37" t="n">
        <f aca="false">SUM(D23,J23)</f>
        <v>0</v>
      </c>
      <c r="O23" s="72" t="s">
        <v>289</v>
      </c>
      <c r="P23" s="73" t="s">
        <v>290</v>
      </c>
      <c r="Q23" s="39" t="n">
        <v>247</v>
      </c>
      <c r="R23" s="40" t="n">
        <v>590500</v>
      </c>
      <c r="S23" s="41"/>
      <c r="T23" s="42"/>
      <c r="U23" s="43" t="n">
        <f aca="false">SUM(Q23)</f>
        <v>247</v>
      </c>
      <c r="V23" s="95" t="n">
        <f aca="false">SUM(R23)</f>
        <v>590500</v>
      </c>
      <c r="W23" s="36" t="n">
        <f aca="false">SUM(M23,Q23)</f>
        <v>247</v>
      </c>
      <c r="X23" s="45" t="n">
        <f aca="false">SUM(N23,R23)</f>
        <v>590500</v>
      </c>
      <c r="Y23" s="46"/>
      <c r="Z23" s="43" t="n">
        <v>284</v>
      </c>
      <c r="AA23" s="41"/>
      <c r="AB23" s="41" t="s">
        <v>288</v>
      </c>
    </row>
    <row r="24" customFormat="false" ht="22.35" hidden="false" customHeight="false" outlineLevel="0" collapsed="false">
      <c r="A24" s="110" t="s">
        <v>291</v>
      </c>
      <c r="B24" s="110" t="s"/>
      <c r="C24" s="80" t="n">
        <v>333</v>
      </c>
      <c r="D24" s="81" t="n">
        <v>149850</v>
      </c>
      <c r="E24" s="82"/>
      <c r="F24" s="83"/>
      <c r="G24" s="84" t="s">
        <v>22</v>
      </c>
      <c r="H24" s="108"/>
      <c r="I24" s="85"/>
      <c r="J24" s="86"/>
      <c r="K24" s="87"/>
      <c r="L24" s="88"/>
      <c r="M24" s="36" t="n">
        <f aca="false">SUM(C24,I24)</f>
        <v>333</v>
      </c>
      <c r="N24" s="37" t="n">
        <f aca="false">SUM(D24,J24)</f>
        <v>149850</v>
      </c>
      <c r="O24" s="107" t="s">
        <v>292</v>
      </c>
      <c r="P24" s="109" t="s">
        <v>293</v>
      </c>
      <c r="Q24" s="91" t="n">
        <v>5</v>
      </c>
      <c r="R24" s="92" t="n">
        <v>101100</v>
      </c>
      <c r="S24" s="93"/>
      <c r="T24" s="94"/>
      <c r="U24" s="43"/>
      <c r="V24" s="43"/>
      <c r="W24" s="36" t="n">
        <f aca="false">SUM(M24,Q24)</f>
        <v>338</v>
      </c>
      <c r="X24" s="45" t="n">
        <f aca="false">SUM(N24,R24)</f>
        <v>250950</v>
      </c>
      <c r="Y24" s="100"/>
      <c r="Z24" s="43" t="n">
        <v>288</v>
      </c>
      <c r="AA24" s="41"/>
      <c r="AB24" s="41" t="s">
        <v>291</v>
      </c>
    </row>
    <row r="25" customFormat="false" ht="43.25" hidden="false" customHeight="false" outlineLevel="0" collapsed="false">
      <c r="A25" s="110" t="s">
        <v>294</v>
      </c>
      <c r="B25" s="110" t="s"/>
      <c r="C25" s="80" t="n">
        <v>1</v>
      </c>
      <c r="D25" s="81" t="n">
        <v>540420</v>
      </c>
      <c r="E25" s="82"/>
      <c r="F25" s="83"/>
      <c r="G25" s="97" t="s">
        <v>295</v>
      </c>
      <c r="H25" s="98" t="s">
        <v>296</v>
      </c>
      <c r="I25" s="85" t="n">
        <v>2</v>
      </c>
      <c r="J25" s="86" t="n">
        <v>900</v>
      </c>
      <c r="K25" s="87"/>
      <c r="L25" s="88"/>
      <c r="M25" s="36" t="n">
        <f aca="false">SUM(C25,I25)</f>
        <v>3</v>
      </c>
      <c r="N25" s="37" t="n">
        <f aca="false">SUM(D25,J25)</f>
        <v>541320</v>
      </c>
      <c r="O25" s="107" t="s">
        <v>297</v>
      </c>
      <c r="P25" s="109" t="s">
        <v>298</v>
      </c>
      <c r="Q25" s="91" t="n">
        <v>3</v>
      </c>
      <c r="R25" s="92" t="n">
        <v>12100</v>
      </c>
      <c r="S25" s="93"/>
      <c r="T25" s="94"/>
      <c r="U25" s="43"/>
      <c r="V25" s="43"/>
      <c r="W25" s="36" t="n">
        <f aca="false">SUM(M25,Q25)</f>
        <v>6</v>
      </c>
      <c r="X25" s="45" t="n">
        <f aca="false">SUM(N25,R25)</f>
        <v>553420</v>
      </c>
      <c r="Y25" s="100"/>
      <c r="Z25" s="43" t="n">
        <v>295</v>
      </c>
      <c r="AA25" s="41" t="n">
        <v>296</v>
      </c>
      <c r="AB25" s="41" t="s">
        <v>294</v>
      </c>
    </row>
    <row r="26" customFormat="false" ht="22.35" hidden="true" customHeight="false" outlineLevel="0" collapsed="false">
      <c r="A26" s="110" t="s">
        <v>299</v>
      </c>
      <c r="B26" s="110" t="s"/>
      <c r="C26" s="80"/>
      <c r="D26" s="81"/>
      <c r="E26" s="82"/>
      <c r="F26" s="83"/>
      <c r="G26" s="84"/>
      <c r="H26" s="108"/>
      <c r="I26" s="85"/>
      <c r="J26" s="86"/>
      <c r="K26" s="87"/>
      <c r="L26" s="88"/>
      <c r="M26" s="36" t="n">
        <f aca="false">SUM(C26,I26)</f>
        <v>0</v>
      </c>
      <c r="N26" s="37" t="n">
        <f aca="false">SUM(D26,J26)</f>
        <v>0</v>
      </c>
      <c r="O26" s="89"/>
      <c r="P26" s="90"/>
      <c r="Q26" s="91"/>
      <c r="R26" s="92"/>
      <c r="S26" s="93"/>
      <c r="T26" s="94"/>
      <c r="U26" s="43"/>
      <c r="V26" s="43"/>
      <c r="W26" s="36" t="n">
        <f aca="false">SUM(M26,Q26)</f>
        <v>0</v>
      </c>
      <c r="X26" s="45" t="n">
        <f aca="false">SUM(N26,R26)</f>
        <v>0</v>
      </c>
      <c r="Y26" s="100"/>
      <c r="Z26" s="43"/>
      <c r="AA26" s="41"/>
      <c r="AB26" s="41"/>
    </row>
    <row r="27" customFormat="false" ht="19.7" hidden="false" customHeight="false" outlineLevel="0" collapsed="false">
      <c r="A27" s="112" t="s">
        <v>23</v>
      </c>
      <c r="B27" s="112" t="s"/>
      <c r="C27" s="53" t="n">
        <f aca="false">SUM(C6:C26)</f>
        <v>439</v>
      </c>
      <c r="D27" s="54" t="n">
        <f aca="false">SUM(D6:D26)</f>
        <v>12990140</v>
      </c>
      <c r="E27" s="55" t="n">
        <f aca="false">SUM(E6:E23)</f>
        <v>0</v>
      </c>
      <c r="F27" s="56" t="n">
        <f aca="false">SUM(F6:F23)</f>
        <v>0</v>
      </c>
      <c r="G27" s="57" t="s">
        <v>23</v>
      </c>
      <c r="H27" s="57"/>
      <c r="I27" s="58" t="n">
        <f aca="false">SUM(I6:I26)</f>
        <v>12</v>
      </c>
      <c r="J27" s="54" t="n">
        <f aca="false">SUM(J6:J26)</f>
        <v>6000</v>
      </c>
      <c r="K27" s="55" t="n">
        <f aca="false">SUM(K6:K23)</f>
        <v>0</v>
      </c>
      <c r="L27" s="56"/>
      <c r="M27" s="59" t="n">
        <f aca="false">SUM(M6:M23)</f>
        <v>115</v>
      </c>
      <c r="N27" s="60" t="n">
        <f aca="false">SUM(N6:N23)</f>
        <v>12304970</v>
      </c>
      <c r="O27" s="57" t="s">
        <v>23</v>
      </c>
      <c r="P27" s="57"/>
      <c r="Q27" s="61" t="n">
        <f aca="false">SUM(Q6:Q26)</f>
        <v>733</v>
      </c>
      <c r="R27" s="62" t="n">
        <f aca="false">SUM(R6:R26)</f>
        <v>4771900</v>
      </c>
      <c r="S27" s="55" t="n">
        <f aca="false">SUM(S6:S23)</f>
        <v>4</v>
      </c>
      <c r="T27" s="56" t="n">
        <f aca="false">SUM(T6:T23)</f>
        <v>0</v>
      </c>
      <c r="U27" s="101" t="n">
        <f aca="false">SUM(U6:U23)</f>
        <v>725</v>
      </c>
      <c r="V27" s="102" t="n">
        <f aca="false">SUM(V6:V23)</f>
        <v>4658700</v>
      </c>
      <c r="W27" s="59" t="n">
        <f aca="false">SUM(W6:W26)</f>
        <v>1184</v>
      </c>
      <c r="X27" s="65" t="n">
        <f aca="false">SUM(X6:X26)</f>
        <v>17768040</v>
      </c>
      <c r="Y27" s="66"/>
      <c r="Z27" s="67"/>
      <c r="AA27" s="67"/>
      <c r="AB27" s="67"/>
    </row>
    <row r="28" customFormat="false" ht="15.75" hidden="false" customHeight="false" outlineLevel="0" collapsed="false">
      <c r="A28" s="2"/>
      <c r="B28" s="2"/>
      <c r="C28" s="2"/>
      <c r="D28" s="68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9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Format="false" ht="15.75" hidden="false" customHeight="false" outlineLevel="0" collapsed="false">
      <c r="B998" s="2"/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7:H27"/>
    <mergeCell ref="O27:P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outlinePr summaryBelow="0"/>
    <pageSetUpPr fitToPage="true"/>
  </sheetPr>
  <dimension ref="A1:AB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7" min="7" style="0" width="14.75"/>
    <col collapsed="false" customWidth="true" hidden="false" outlineLevel="0" max="8" min="8" style="0" width="15.75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300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301</v>
      </c>
      <c r="B6" s="110" t="s"/>
      <c r="C6" s="28" t="s">
        <v>22</v>
      </c>
      <c r="D6" s="29"/>
      <c r="E6" s="30"/>
      <c r="F6" s="31"/>
      <c r="G6" s="77" t="s">
        <v>22</v>
      </c>
      <c r="H6" s="87"/>
      <c r="I6" s="50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0</v>
      </c>
      <c r="X6" s="45" t="n">
        <f aca="false">SUM(N6,R6)</f>
        <v>0</v>
      </c>
      <c r="Y6" s="46"/>
      <c r="Z6" s="43" t="n">
        <v>302</v>
      </c>
      <c r="AA6" s="41"/>
      <c r="AB6" s="41" t="s">
        <v>301</v>
      </c>
    </row>
    <row r="7" customFormat="false" ht="22.35" hidden="false" customHeight="false" outlineLevel="0" collapsed="false">
      <c r="A7" s="110" t="s">
        <v>302</v>
      </c>
      <c r="B7" s="110" t="s"/>
      <c r="C7" s="28" t="n">
        <v>2</v>
      </c>
      <c r="D7" s="29" t="n">
        <v>1000</v>
      </c>
      <c r="E7" s="30"/>
      <c r="F7" s="31"/>
      <c r="G7" s="76" t="s">
        <v>303</v>
      </c>
      <c r="H7" s="33" t="s">
        <v>22</v>
      </c>
      <c r="I7" s="50" t="n">
        <v>1</v>
      </c>
      <c r="J7" s="34" t="n">
        <v>500</v>
      </c>
      <c r="K7" s="33"/>
      <c r="L7" s="35"/>
      <c r="M7" s="36" t="n">
        <f aca="false">SUM(C7,I7)</f>
        <v>3</v>
      </c>
      <c r="N7" s="37" t="n">
        <f aca="false">SUM(D7,J7)</f>
        <v>1500</v>
      </c>
      <c r="O7" s="73" t="s">
        <v>304</v>
      </c>
      <c r="P7" s="73" t="s">
        <v>305</v>
      </c>
      <c r="Q7" s="39" t="n">
        <v>2</v>
      </c>
      <c r="R7" s="40" t="n">
        <v>10038.7</v>
      </c>
      <c r="S7" s="41"/>
      <c r="T7" s="42"/>
      <c r="U7" s="43" t="n">
        <f aca="false">SUM(Q7)</f>
        <v>2</v>
      </c>
      <c r="V7" s="95" t="n">
        <f aca="false">SUM(R7)</f>
        <v>10038.7</v>
      </c>
      <c r="W7" s="36" t="n">
        <f aca="false">SUM(M7,Q7)</f>
        <v>5</v>
      </c>
      <c r="X7" s="45" t="n">
        <f aca="false">SUM(N7,R7)</f>
        <v>11538.7</v>
      </c>
      <c r="Y7" s="46"/>
      <c r="Z7" s="43" t="n">
        <v>307</v>
      </c>
      <c r="AA7" s="41" t="n">
        <v>308</v>
      </c>
      <c r="AB7" s="41" t="s">
        <v>302</v>
      </c>
    </row>
    <row r="8" customFormat="false" ht="22.35" hidden="false" customHeight="false" outlineLevel="0" collapsed="false">
      <c r="A8" s="110" t="s">
        <v>306</v>
      </c>
      <c r="B8" s="110" t="s"/>
      <c r="C8" s="28" t="n">
        <v>4</v>
      </c>
      <c r="D8" s="29" t="n">
        <v>2000</v>
      </c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4</v>
      </c>
      <c r="N8" s="37" t="n">
        <f aca="false">SUM(D8,J8)</f>
        <v>2000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4</v>
      </c>
      <c r="X8" s="45" t="n">
        <f aca="false">SUM(N8,R8)</f>
        <v>2000</v>
      </c>
      <c r="Y8" s="105"/>
      <c r="Z8" s="43" t="n">
        <v>317</v>
      </c>
      <c r="AA8" s="41"/>
      <c r="AB8" s="41" t="s">
        <v>306</v>
      </c>
    </row>
    <row r="9" customFormat="false" ht="22.35" hidden="false" customHeight="false" outlineLevel="0" collapsed="false">
      <c r="A9" s="110" t="s">
        <v>307</v>
      </c>
      <c r="B9" s="110" t="s"/>
      <c r="C9" s="28" t="n">
        <v>20</v>
      </c>
      <c r="D9" s="29" t="n">
        <v>9000</v>
      </c>
      <c r="E9" s="30"/>
      <c r="F9" s="31"/>
      <c r="G9" s="76" t="s">
        <v>308</v>
      </c>
      <c r="H9" s="33" t="s">
        <v>22</v>
      </c>
      <c r="I9" s="50" t="n">
        <v>1</v>
      </c>
      <c r="J9" s="34" t="n">
        <v>200</v>
      </c>
      <c r="K9" s="33"/>
      <c r="L9" s="35"/>
      <c r="M9" s="36" t="n">
        <f aca="false">SUM(C9,I9)</f>
        <v>21</v>
      </c>
      <c r="N9" s="37" t="n">
        <f aca="false">SUM(D9,J9)</f>
        <v>9200</v>
      </c>
      <c r="O9" s="39" t="s">
        <v>22</v>
      </c>
      <c r="P9" s="39"/>
      <c r="Q9" s="39"/>
      <c r="R9" s="40"/>
      <c r="S9" s="41"/>
      <c r="T9" s="42"/>
      <c r="U9" s="43" t="n">
        <f aca="false">SUM(Q9)</f>
        <v>0</v>
      </c>
      <c r="V9" s="95" t="n">
        <f aca="false">SUM(R9)</f>
        <v>0</v>
      </c>
      <c r="W9" s="36" t="n">
        <f aca="false">SUM(M9,Q9)</f>
        <v>21</v>
      </c>
      <c r="X9" s="45" t="n">
        <f aca="false">SUM(N9,R9)</f>
        <v>9200</v>
      </c>
      <c r="Y9" s="46"/>
      <c r="Z9" s="43" t="n">
        <v>323</v>
      </c>
      <c r="AA9" s="41"/>
      <c r="AB9" s="41" t="s">
        <v>307</v>
      </c>
    </row>
    <row r="10" customFormat="false" ht="22.35" hidden="false" customHeight="false" outlineLevel="0" collapsed="false">
      <c r="A10" s="110" t="s">
        <v>309</v>
      </c>
      <c r="B10" s="110" t="s"/>
      <c r="C10" s="28" t="s">
        <v>22</v>
      </c>
      <c r="D10" s="29"/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0</v>
      </c>
      <c r="X10" s="45" t="n">
        <f aca="false">SUM(N10,R10)</f>
        <v>0</v>
      </c>
      <c r="Y10" s="46"/>
      <c r="Z10" s="43" t="n">
        <v>329</v>
      </c>
      <c r="AA10" s="41"/>
      <c r="AB10" s="41" t="s">
        <v>309</v>
      </c>
    </row>
    <row r="11" customFormat="false" ht="22.35" hidden="false" customHeight="false" outlineLevel="0" collapsed="false">
      <c r="A11" s="110" t="s">
        <v>310</v>
      </c>
      <c r="B11" s="110" t="s"/>
      <c r="C11" s="28" t="n">
        <v>1</v>
      </c>
      <c r="D11" s="29" t="n">
        <v>1800</v>
      </c>
      <c r="E11" s="30"/>
      <c r="F11" s="31"/>
      <c r="G11" s="76" t="s">
        <v>311</v>
      </c>
      <c r="H11" s="33" t="s">
        <v>22</v>
      </c>
      <c r="I11" s="50" t="n">
        <v>1</v>
      </c>
      <c r="J11" s="34" t="n">
        <v>500</v>
      </c>
      <c r="K11" s="33"/>
      <c r="L11" s="35"/>
      <c r="M11" s="36" t="n">
        <f aca="false">SUM(C11,I11)</f>
        <v>2</v>
      </c>
      <c r="N11" s="37" t="n">
        <f aca="false">SUM(D11,J11)</f>
        <v>2300</v>
      </c>
      <c r="O11" s="39" t="s">
        <v>22</v>
      </c>
      <c r="P11" s="39"/>
      <c r="Q11" s="39"/>
      <c r="R11" s="40"/>
      <c r="S11" s="41"/>
      <c r="T11" s="42"/>
      <c r="U11" s="43" t="n">
        <f aca="false">SUM(Q11)</f>
        <v>0</v>
      </c>
      <c r="V11" s="95" t="n">
        <f aca="false">SUM(R11)</f>
        <v>0</v>
      </c>
      <c r="W11" s="36" t="n">
        <f aca="false">SUM(M11,Q11)</f>
        <v>2</v>
      </c>
      <c r="X11" s="45" t="n">
        <f aca="false">SUM(N11,R11)</f>
        <v>2300</v>
      </c>
      <c r="Y11" s="46"/>
      <c r="Z11" s="43" t="n">
        <v>339</v>
      </c>
      <c r="AA11" s="41"/>
      <c r="AB11" s="41" t="s">
        <v>310</v>
      </c>
    </row>
    <row r="12" customFormat="false" ht="22.35" hidden="false" customHeight="false" outlineLevel="0" collapsed="false">
      <c r="A12" s="110" t="s">
        <v>312</v>
      </c>
      <c r="B12" s="110" t="s"/>
      <c r="C12" s="28" t="s">
        <v>22</v>
      </c>
      <c r="D12" s="29"/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9" t="s">
        <v>22</v>
      </c>
      <c r="P12" s="39"/>
      <c r="Q12" s="39"/>
      <c r="R12" s="40"/>
      <c r="S12" s="41"/>
      <c r="T12" s="42"/>
      <c r="U12" s="43" t="n">
        <f aca="false">SUM(Q12)</f>
        <v>0</v>
      </c>
      <c r="V12" s="95" t="n">
        <f aca="false">SUM(R12)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 t="n">
        <v>343</v>
      </c>
      <c r="AA12" s="41"/>
      <c r="AB12" s="41" t="s">
        <v>312</v>
      </c>
    </row>
    <row r="13" customFormat="false" ht="22.35" hidden="false" customHeight="false" outlineLevel="0" collapsed="false">
      <c r="A13" s="110" t="s">
        <v>313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39" t="s">
        <v>22</v>
      </c>
      <c r="P13" s="39"/>
      <c r="Q13" s="39"/>
      <c r="R13" s="40"/>
      <c r="S13" s="41"/>
      <c r="T13" s="42"/>
      <c r="U13" s="43" t="n">
        <f aca="false">SUM(Q13)</f>
        <v>0</v>
      </c>
      <c r="V13" s="95" t="n">
        <f aca="false">SUM(R13)</f>
        <v>0</v>
      </c>
      <c r="W13" s="36" t="n">
        <f aca="false">SUM(M13,Q13)</f>
        <v>0</v>
      </c>
      <c r="X13" s="45" t="n">
        <f aca="false">SUM(N13,R13)</f>
        <v>0</v>
      </c>
      <c r="Y13" s="46"/>
      <c r="Z13" s="43" t="n">
        <v>349</v>
      </c>
      <c r="AA13" s="41"/>
      <c r="AB13" s="41" t="s">
        <v>313</v>
      </c>
    </row>
    <row r="14" customFormat="false" ht="22.35" hidden="false" customHeight="false" outlineLevel="0" collapsed="false">
      <c r="A14" s="110" t="s">
        <v>314</v>
      </c>
      <c r="B14" s="110" t="s"/>
      <c r="C14" s="28" t="n">
        <v>1</v>
      </c>
      <c r="D14" s="29" t="n">
        <v>8920</v>
      </c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1</v>
      </c>
      <c r="N14" s="37" t="n">
        <f aca="false">SUM(D14,J14)</f>
        <v>8920</v>
      </c>
      <c r="O14" s="39" t="s">
        <v>22</v>
      </c>
      <c r="P14" s="39"/>
      <c r="Q14" s="39"/>
      <c r="R14" s="40"/>
      <c r="S14" s="41"/>
      <c r="T14" s="42"/>
      <c r="U14" s="43" t="n">
        <f aca="false">SUM(Q14)</f>
        <v>0</v>
      </c>
      <c r="V14" s="95" t="n">
        <f aca="false">SUM(R14)</f>
        <v>0</v>
      </c>
      <c r="W14" s="36" t="n">
        <f aca="false">SUM(M14,Q14)</f>
        <v>1</v>
      </c>
      <c r="X14" s="45" t="n">
        <f aca="false">SUM(N14,R14)</f>
        <v>8920</v>
      </c>
      <c r="Y14" s="46"/>
      <c r="Z14" s="43" t="n">
        <v>354</v>
      </c>
      <c r="AA14" s="41"/>
      <c r="AB14" s="41" t="s">
        <v>314</v>
      </c>
    </row>
    <row r="15" customFormat="false" ht="22.35" hidden="false" customHeight="false" outlineLevel="0" collapsed="false">
      <c r="A15" s="110" t="s">
        <v>315</v>
      </c>
      <c r="B15" s="110" t="s"/>
      <c r="C15" s="28" t="n">
        <v>2</v>
      </c>
      <c r="D15" s="29" t="n">
        <v>633180</v>
      </c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2</v>
      </c>
      <c r="N15" s="37" t="n">
        <f aca="false">SUM(D15,J15)</f>
        <v>633180</v>
      </c>
      <c r="O15" s="39" t="s">
        <v>22</v>
      </c>
      <c r="P15" s="39"/>
      <c r="Q15" s="39"/>
      <c r="R15" s="40"/>
      <c r="S15" s="41"/>
      <c r="T15" s="42"/>
      <c r="U15" s="43" t="n">
        <f aca="false">SUM(Q15)</f>
        <v>0</v>
      </c>
      <c r="V15" s="95" t="n">
        <f aca="false">SUM(R15)</f>
        <v>0</v>
      </c>
      <c r="W15" s="36" t="n">
        <f aca="false">SUM(M15,Q15)</f>
        <v>2</v>
      </c>
      <c r="X15" s="45" t="n">
        <f aca="false">SUM(N15,R15)</f>
        <v>633180</v>
      </c>
      <c r="Y15" s="46"/>
      <c r="Z15" s="43" t="n">
        <v>360</v>
      </c>
      <c r="AA15" s="41"/>
      <c r="AB15" s="41" t="s">
        <v>315</v>
      </c>
    </row>
    <row r="16" customFormat="false" ht="22.35" hidden="false" customHeight="false" outlineLevel="0" collapsed="false">
      <c r="A16" s="110" t="s">
        <v>316</v>
      </c>
      <c r="B16" s="110" t="s"/>
      <c r="C16" s="28" t="n">
        <v>5</v>
      </c>
      <c r="D16" s="29" t="n">
        <v>1000</v>
      </c>
      <c r="E16" s="30"/>
      <c r="F16" s="31"/>
      <c r="G16" s="77" t="s">
        <v>22</v>
      </c>
      <c r="H16" s="33"/>
      <c r="I16" s="50"/>
      <c r="J16" s="34"/>
      <c r="K16" s="33"/>
      <c r="L16" s="35"/>
      <c r="M16" s="36" t="n">
        <f aca="false">SUM(C16,I16)</f>
        <v>5</v>
      </c>
      <c r="N16" s="37" t="n">
        <f aca="false">SUM(D16,J16)</f>
        <v>1000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5</v>
      </c>
      <c r="X16" s="45" t="n">
        <f aca="false">SUM(N16,R16)</f>
        <v>1000</v>
      </c>
      <c r="Y16" s="46"/>
      <c r="Z16" s="43" t="n">
        <v>369</v>
      </c>
      <c r="AA16" s="41"/>
      <c r="AB16" s="41" t="s">
        <v>316</v>
      </c>
    </row>
    <row r="17" customFormat="false" ht="22.35" hidden="false" customHeight="false" outlineLevel="0" collapsed="false">
      <c r="A17" s="110" t="s">
        <v>317</v>
      </c>
      <c r="B17" s="110" t="s"/>
      <c r="C17" s="28" t="n">
        <v>1</v>
      </c>
      <c r="D17" s="29" t="n">
        <v>400</v>
      </c>
      <c r="E17" s="30"/>
      <c r="F17" s="31"/>
      <c r="G17" s="77" t="s">
        <v>22</v>
      </c>
      <c r="H17" s="33"/>
      <c r="I17" s="50"/>
      <c r="J17" s="34"/>
      <c r="K17" s="33"/>
      <c r="L17" s="35"/>
      <c r="M17" s="36" t="n">
        <f aca="false">SUM(C17,I17)</f>
        <v>1</v>
      </c>
      <c r="N17" s="37" t="n">
        <f aca="false">SUM(D17,J17)</f>
        <v>400</v>
      </c>
      <c r="O17" s="39" t="s">
        <v>22</v>
      </c>
      <c r="P17" s="39"/>
      <c r="Q17" s="39"/>
      <c r="R17" s="40"/>
      <c r="S17" s="41"/>
      <c r="T17" s="42"/>
      <c r="U17" s="43" t="n">
        <f aca="false">SUM(Q17)</f>
        <v>0</v>
      </c>
      <c r="V17" s="95" t="n">
        <f aca="false">SUM(R17)</f>
        <v>0</v>
      </c>
      <c r="W17" s="36" t="n">
        <f aca="false">SUM(M17,Q17)</f>
        <v>1</v>
      </c>
      <c r="X17" s="45" t="n">
        <f aca="false">SUM(N17,R17)</f>
        <v>400</v>
      </c>
      <c r="Y17" s="46"/>
      <c r="Z17" s="43" t="n">
        <v>376</v>
      </c>
      <c r="AA17" s="41"/>
      <c r="AB17" s="41" t="s">
        <v>317</v>
      </c>
    </row>
    <row r="18" customFormat="false" ht="22.35" hidden="false" customHeight="false" outlineLevel="0" collapsed="false">
      <c r="A18" s="110" t="s">
        <v>318</v>
      </c>
      <c r="B18" s="110" t="s"/>
      <c r="C18" s="28" t="n">
        <v>2</v>
      </c>
      <c r="D18" s="29" t="n">
        <v>638500</v>
      </c>
      <c r="E18" s="30"/>
      <c r="F18" s="31"/>
      <c r="G18" s="33" t="s">
        <v>22</v>
      </c>
      <c r="H18" s="33"/>
      <c r="I18" s="50"/>
      <c r="J18" s="34"/>
      <c r="K18" s="33"/>
      <c r="L18" s="35"/>
      <c r="M18" s="36" t="n">
        <f aca="false">SUM(C18,I18)</f>
        <v>2</v>
      </c>
      <c r="N18" s="37" t="n">
        <f aca="false">SUM(D18,J18)</f>
        <v>638500</v>
      </c>
      <c r="O18" s="39" t="s">
        <v>22</v>
      </c>
      <c r="P18" s="39"/>
      <c r="Q18" s="39"/>
      <c r="R18" s="40"/>
      <c r="S18" s="41"/>
      <c r="T18" s="42"/>
      <c r="U18" s="43" t="n">
        <f aca="false">SUM(Q18)</f>
        <v>0</v>
      </c>
      <c r="V18" s="95" t="n">
        <f aca="false">SUM(R18)</f>
        <v>0</v>
      </c>
      <c r="W18" s="36" t="n">
        <f aca="false">SUM(M18,Q18)</f>
        <v>2</v>
      </c>
      <c r="X18" s="45" t="n">
        <f aca="false">SUM(N18,R18)</f>
        <v>638500</v>
      </c>
      <c r="Y18" s="49"/>
      <c r="Z18" s="43" t="n">
        <v>382</v>
      </c>
      <c r="AA18" s="41"/>
      <c r="AB18" s="41" t="s">
        <v>318</v>
      </c>
    </row>
    <row r="19" customFormat="false" ht="22.35" hidden="false" customHeight="false" outlineLevel="0" collapsed="false">
      <c r="A19" s="110" t="s">
        <v>319</v>
      </c>
      <c r="B19" s="110" t="s"/>
      <c r="C19" s="28" t="n">
        <v>2</v>
      </c>
      <c r="D19" s="29" t="n">
        <v>5307300</v>
      </c>
      <c r="E19" s="30"/>
      <c r="F19" s="31"/>
      <c r="G19" s="77" t="s">
        <v>22</v>
      </c>
      <c r="H19" s="33"/>
      <c r="I19" s="50"/>
      <c r="J19" s="34"/>
      <c r="K19" s="33"/>
      <c r="L19" s="35"/>
      <c r="M19" s="36" t="n">
        <f aca="false">SUM(C19,I19)</f>
        <v>2</v>
      </c>
      <c r="N19" s="37" t="n">
        <f aca="false">SUM(D19,J19)</f>
        <v>5307300</v>
      </c>
      <c r="O19" s="39" t="s">
        <v>22</v>
      </c>
      <c r="P19" s="39"/>
      <c r="Q19" s="39"/>
      <c r="R19" s="40"/>
      <c r="S19" s="41"/>
      <c r="T19" s="42"/>
      <c r="U19" s="43" t="n">
        <f aca="false">SUM(Q19)</f>
        <v>0</v>
      </c>
      <c r="V19" s="95" t="n">
        <f aca="false">SUM(R19)</f>
        <v>0</v>
      </c>
      <c r="W19" s="36" t="n">
        <f aca="false">SUM(M19,Q19)</f>
        <v>2</v>
      </c>
      <c r="X19" s="45" t="n">
        <f aca="false">SUM(N19,R19)</f>
        <v>5307300</v>
      </c>
      <c r="Y19" s="49"/>
      <c r="Z19" s="43" t="n">
        <v>390</v>
      </c>
      <c r="AA19" s="41"/>
      <c r="AB19" s="41" t="s">
        <v>319</v>
      </c>
    </row>
    <row r="20" customFormat="false" ht="22.35" hidden="false" customHeight="false" outlineLevel="0" collapsed="false">
      <c r="A20" s="110" t="s">
        <v>320</v>
      </c>
      <c r="B20" s="110" t="s"/>
      <c r="C20" s="28" t="n">
        <v>2</v>
      </c>
      <c r="D20" s="29" t="n">
        <v>94320</v>
      </c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2</v>
      </c>
      <c r="N20" s="37" t="n">
        <f aca="false">SUM(D20,J20)</f>
        <v>94320</v>
      </c>
      <c r="O20" s="39" t="s">
        <v>22</v>
      </c>
      <c r="P20" s="39"/>
      <c r="Q20" s="39"/>
      <c r="R20" s="40"/>
      <c r="S20" s="41"/>
      <c r="T20" s="42"/>
      <c r="U20" s="43" t="n">
        <f aca="false">SUM(Q20)</f>
        <v>0</v>
      </c>
      <c r="V20" s="95" t="n">
        <f aca="false">SUM(R20)</f>
        <v>0</v>
      </c>
      <c r="W20" s="36" t="n">
        <f aca="false">SUM(M20,Q20)</f>
        <v>2</v>
      </c>
      <c r="X20" s="45" t="n">
        <f aca="false">SUM(N20,R20)</f>
        <v>94320</v>
      </c>
      <c r="Y20" s="46"/>
      <c r="Z20" s="43" t="n">
        <v>397</v>
      </c>
      <c r="AA20" s="41"/>
      <c r="AB20" s="41" t="s">
        <v>320</v>
      </c>
    </row>
    <row r="21" customFormat="false" ht="22.35" hidden="false" customHeight="false" outlineLevel="0" collapsed="false">
      <c r="A21" s="110" t="s">
        <v>321</v>
      </c>
      <c r="B21" s="110" t="s"/>
      <c r="C21" s="28" t="s">
        <v>22</v>
      </c>
      <c r="D21" s="29"/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39" t="s">
        <v>22</v>
      </c>
      <c r="P21" s="39"/>
      <c r="Q21" s="39"/>
      <c r="R21" s="40"/>
      <c r="S21" s="41"/>
      <c r="T21" s="42"/>
      <c r="U21" s="43" t="n">
        <f aca="false">SUM(Q21)</f>
        <v>0</v>
      </c>
      <c r="V21" s="95" t="n">
        <f aca="false">SUM(R21)</f>
        <v>0</v>
      </c>
      <c r="W21" s="36" t="n">
        <f aca="false">SUM(M21,Q21)</f>
        <v>0</v>
      </c>
      <c r="X21" s="45" t="n">
        <f aca="false">SUM(N21,R21)</f>
        <v>0</v>
      </c>
      <c r="Y21" s="46"/>
      <c r="Z21" s="43" t="n">
        <v>401</v>
      </c>
      <c r="AA21" s="41"/>
      <c r="AB21" s="41" t="s">
        <v>321</v>
      </c>
    </row>
    <row r="22" customFormat="false" ht="22.35" hidden="false" customHeight="false" outlineLevel="0" collapsed="false">
      <c r="A22" s="110" t="s">
        <v>322</v>
      </c>
      <c r="B22" s="110" t="s"/>
      <c r="C22" s="28" t="s">
        <v>22</v>
      </c>
      <c r="D22" s="29"/>
      <c r="E22" s="30"/>
      <c r="F22" s="31"/>
      <c r="G22" s="77" t="s">
        <v>22</v>
      </c>
      <c r="H22" s="33"/>
      <c r="I22" s="50"/>
      <c r="J22" s="34"/>
      <c r="K22" s="33"/>
      <c r="L22" s="35"/>
      <c r="M22" s="36" t="n">
        <f aca="false">SUM(C22,I22)</f>
        <v>0</v>
      </c>
      <c r="N22" s="37" t="n">
        <f aca="false">SUM(D22,J22)</f>
        <v>0</v>
      </c>
      <c r="O22" s="39" t="s">
        <v>22</v>
      </c>
      <c r="P22" s="39"/>
      <c r="Q22" s="39"/>
      <c r="R22" s="40"/>
      <c r="S22" s="41"/>
      <c r="T22" s="42"/>
      <c r="U22" s="43" t="n">
        <f aca="false">SUM(Q22)</f>
        <v>0</v>
      </c>
      <c r="V22" s="95" t="n">
        <f aca="false">SUM(R22)</f>
        <v>0</v>
      </c>
      <c r="W22" s="36" t="n">
        <f aca="false">SUM(M22,Q22)</f>
        <v>0</v>
      </c>
      <c r="X22" s="45" t="n">
        <f aca="false">SUM(N22,R22)</f>
        <v>0</v>
      </c>
      <c r="Y22" s="46"/>
      <c r="Z22" s="43" t="n">
        <v>408</v>
      </c>
      <c r="AA22" s="41"/>
      <c r="AB22" s="41" t="s">
        <v>322</v>
      </c>
    </row>
    <row r="23" customFormat="false" ht="22.35" hidden="false" customHeight="false" outlineLevel="0" collapsed="false">
      <c r="A23" s="110" t="s">
        <v>323</v>
      </c>
      <c r="B23" s="110" t="s"/>
      <c r="C23" s="28" t="n">
        <v>7</v>
      </c>
      <c r="D23" s="29" t="n">
        <v>499880</v>
      </c>
      <c r="E23" s="30"/>
      <c r="F23" s="31"/>
      <c r="G23" s="77" t="s">
        <v>22</v>
      </c>
      <c r="H23" s="33"/>
      <c r="I23" s="50"/>
      <c r="J23" s="34"/>
      <c r="K23" s="33"/>
      <c r="L23" s="35"/>
      <c r="M23" s="36" t="n">
        <f aca="false">SUM(C23,I23)</f>
        <v>7</v>
      </c>
      <c r="N23" s="37" t="n">
        <f aca="false">SUM(D23,J23)</f>
        <v>499880</v>
      </c>
      <c r="O23" s="38" t="s">
        <v>22</v>
      </c>
      <c r="P23" s="39"/>
      <c r="Q23" s="39"/>
      <c r="R23" s="40"/>
      <c r="S23" s="41"/>
      <c r="T23" s="42"/>
      <c r="U23" s="43" t="n">
        <f aca="false">SUM(Q23)</f>
        <v>0</v>
      </c>
      <c r="V23" s="95" t="n">
        <f aca="false">SUM(R23)</f>
        <v>0</v>
      </c>
      <c r="W23" s="36" t="n">
        <f aca="false">SUM(M23,Q23)</f>
        <v>7</v>
      </c>
      <c r="X23" s="45" t="n">
        <f aca="false">SUM(N23,R23)</f>
        <v>499880</v>
      </c>
      <c r="Y23" s="46"/>
      <c r="Z23" s="43" t="n">
        <v>415</v>
      </c>
      <c r="AA23" s="41"/>
      <c r="AB23" s="41" t="s">
        <v>323</v>
      </c>
    </row>
    <row r="24" customFormat="false" ht="22.35" hidden="false" customHeight="false" outlineLevel="0" collapsed="false">
      <c r="A24" s="110" t="s">
        <v>324</v>
      </c>
      <c r="B24" s="110" t="s"/>
      <c r="C24" s="80" t="s">
        <v>22</v>
      </c>
      <c r="D24" s="81"/>
      <c r="E24" s="82"/>
      <c r="F24" s="83"/>
      <c r="G24" s="84" t="s">
        <v>22</v>
      </c>
      <c r="H24" s="33"/>
      <c r="I24" s="85"/>
      <c r="J24" s="86"/>
      <c r="K24" s="87"/>
      <c r="L24" s="88"/>
      <c r="M24" s="36" t="n">
        <f aca="false">SUM(C24,I24)</f>
        <v>0</v>
      </c>
      <c r="N24" s="37" t="n">
        <f aca="false">SUM(D24,J24)</f>
        <v>0</v>
      </c>
      <c r="O24" s="89" t="s">
        <v>22</v>
      </c>
      <c r="P24" s="39"/>
      <c r="Q24" s="91"/>
      <c r="R24" s="92"/>
      <c r="S24" s="93"/>
      <c r="T24" s="94"/>
      <c r="U24" s="43"/>
      <c r="V24" s="43"/>
      <c r="W24" s="36" t="n">
        <f aca="false">SUM(M24,Q24)</f>
        <v>0</v>
      </c>
      <c r="X24" s="45" t="n">
        <f aca="false">SUM(N24,R24)</f>
        <v>0</v>
      </c>
      <c r="Y24" s="100"/>
      <c r="Z24" s="43" t="n">
        <v>418</v>
      </c>
      <c r="AA24" s="41"/>
      <c r="AB24" s="41" t="s">
        <v>324</v>
      </c>
    </row>
    <row r="25" customFormat="false" ht="22.35" hidden="false" customHeight="false" outlineLevel="0" collapsed="false">
      <c r="A25" s="110" t="s">
        <v>299</v>
      </c>
      <c r="B25" s="110" t="s"/>
      <c r="C25" s="80" t="n">
        <v>1</v>
      </c>
      <c r="D25" s="81" t="n">
        <v>2200</v>
      </c>
      <c r="E25" s="82"/>
      <c r="F25" s="83"/>
      <c r="G25" s="84" t="s">
        <v>22</v>
      </c>
      <c r="H25" s="33"/>
      <c r="I25" s="85"/>
      <c r="J25" s="86"/>
      <c r="K25" s="87"/>
      <c r="L25" s="88"/>
      <c r="M25" s="36" t="n">
        <f aca="false">SUM(C25,I25)</f>
        <v>1</v>
      </c>
      <c r="N25" s="37" t="n">
        <f aca="false">SUM(D25,J25)</f>
        <v>2200</v>
      </c>
      <c r="O25" s="89" t="s">
        <v>22</v>
      </c>
      <c r="P25" s="39"/>
      <c r="Q25" s="91"/>
      <c r="R25" s="92"/>
      <c r="S25" s="93"/>
      <c r="T25" s="94"/>
      <c r="U25" s="43"/>
      <c r="V25" s="43"/>
      <c r="W25" s="36" t="n">
        <f aca="false">SUM(M25,Q25)</f>
        <v>1</v>
      </c>
      <c r="X25" s="45" t="n">
        <f aca="false">SUM(N25,R25)</f>
        <v>2200</v>
      </c>
      <c r="Y25" s="100"/>
      <c r="Z25" s="43" t="n">
        <v>426</v>
      </c>
      <c r="AA25" s="41"/>
      <c r="AB25" s="41" t="s">
        <v>299</v>
      </c>
    </row>
    <row r="26" customFormat="false" ht="22.35" hidden="false" customHeight="false" outlineLevel="0" collapsed="false">
      <c r="A26" s="110" t="s">
        <v>325</v>
      </c>
      <c r="B26" s="110" t="s"/>
      <c r="C26" s="80" t="s">
        <v>22</v>
      </c>
      <c r="D26" s="81"/>
      <c r="E26" s="82"/>
      <c r="F26" s="83"/>
      <c r="G26" s="84" t="s">
        <v>22</v>
      </c>
      <c r="H26" s="33"/>
      <c r="I26" s="85"/>
      <c r="J26" s="86"/>
      <c r="K26" s="87"/>
      <c r="L26" s="88"/>
      <c r="M26" s="36" t="n">
        <f aca="false">SUM(C26,I26)</f>
        <v>0</v>
      </c>
      <c r="N26" s="37" t="n">
        <f aca="false">SUM(D26,J26)</f>
        <v>0</v>
      </c>
      <c r="O26" s="89" t="s">
        <v>22</v>
      </c>
      <c r="P26" s="39"/>
      <c r="Q26" s="91"/>
      <c r="R26" s="92"/>
      <c r="S26" s="93"/>
      <c r="T26" s="94"/>
      <c r="U26" s="43"/>
      <c r="V26" s="43"/>
      <c r="W26" s="36" t="n">
        <f aca="false">SUM(M26,Q26)</f>
        <v>0</v>
      </c>
      <c r="X26" s="45" t="n">
        <f aca="false">SUM(N26,R26)</f>
        <v>0</v>
      </c>
      <c r="Y26" s="100"/>
      <c r="Z26" s="43" t="n">
        <v>432</v>
      </c>
      <c r="AA26" s="41"/>
      <c r="AB26" s="41" t="s">
        <v>325</v>
      </c>
    </row>
    <row r="27" customFormat="false" ht="19.7" hidden="false" customHeight="false" outlineLevel="0" collapsed="false">
      <c r="A27" s="52" t="s">
        <v>23</v>
      </c>
      <c r="B27" s="52" t="s"/>
      <c r="C27" s="53" t="n">
        <f aca="false">SUM(C6:C26)</f>
        <v>50</v>
      </c>
      <c r="D27" s="54" t="n">
        <f aca="false">SUM(D6:D26)</f>
        <v>7199500</v>
      </c>
      <c r="E27" s="55" t="n">
        <f aca="false">SUM(E6:E23)</f>
        <v>0</v>
      </c>
      <c r="F27" s="56" t="n">
        <f aca="false">SUM(F6:F23)</f>
        <v>0</v>
      </c>
      <c r="G27" s="57" t="s">
        <v>23</v>
      </c>
      <c r="H27" s="57"/>
      <c r="I27" s="58" t="n">
        <f aca="false">SUM(I6:I26)</f>
        <v>3</v>
      </c>
      <c r="J27" s="54" t="n">
        <f aca="false">SUM(J6:J26)</f>
        <v>1200</v>
      </c>
      <c r="K27" s="55" t="n">
        <f aca="false">SUM(K6:K23)</f>
        <v>0</v>
      </c>
      <c r="L27" s="56"/>
      <c r="M27" s="59" t="n">
        <f aca="false">SUM(M6:M26)</f>
        <v>53</v>
      </c>
      <c r="N27" s="60" t="n">
        <f aca="false">SUM(N6:N26)</f>
        <v>7200700</v>
      </c>
      <c r="O27" s="57" t="s">
        <v>23</v>
      </c>
      <c r="P27" s="57"/>
      <c r="Q27" s="61" t="n">
        <f aca="false">SUM(Q6:Q26)</f>
        <v>2</v>
      </c>
      <c r="R27" s="62" t="n">
        <f aca="false">SUM(R6:R26)</f>
        <v>10038.7</v>
      </c>
      <c r="S27" s="55" t="n">
        <f aca="false">SUM(S6:S23)</f>
        <v>0</v>
      </c>
      <c r="T27" s="56" t="n">
        <f aca="false">SUM(T6:T23)</f>
        <v>0</v>
      </c>
      <c r="U27" s="101" t="n">
        <f aca="false">SUM(U6:U23)</f>
        <v>2</v>
      </c>
      <c r="V27" s="102" t="n">
        <f aca="false">SUM(V6:V23)</f>
        <v>10038.7</v>
      </c>
      <c r="W27" s="59" t="n">
        <f aca="false">SUM(W6:W26)</f>
        <v>55</v>
      </c>
      <c r="X27" s="65" t="n">
        <f aca="false">SUM(X6:X26)</f>
        <v>7210738.7</v>
      </c>
      <c r="Y27" s="66"/>
      <c r="Z27" s="67"/>
      <c r="AA27" s="67"/>
      <c r="AB27" s="67"/>
    </row>
    <row r="28" customFormat="false" ht="15.75" hidden="false" customHeight="false" outlineLevel="0" collapsed="false">
      <c r="A28" s="2"/>
      <c r="B28" s="2"/>
      <c r="C28" s="2"/>
      <c r="D28" s="68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9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Format="false" ht="15.75" hidden="false" customHeight="false" outlineLevel="0" collapsed="false">
      <c r="B998" s="2"/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7:H27"/>
    <mergeCell ref="O27:P2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outlinePr summaryBelow="0"/>
    <pageSetUpPr fitToPage="true"/>
  </sheetPr>
  <dimension ref="A1:AB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7" min="7" style="0" width="15.13"/>
    <col collapsed="false" customWidth="true" hidden="false" outlineLevel="0" max="8" min="8" style="0" width="15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326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327</v>
      </c>
      <c r="B6" s="110" t="s"/>
      <c r="C6" s="28" t="n">
        <v>1</v>
      </c>
      <c r="D6" s="29" t="n">
        <v>3200</v>
      </c>
      <c r="E6" s="30"/>
      <c r="F6" s="31"/>
      <c r="G6" s="77" t="s">
        <v>22</v>
      </c>
      <c r="H6" s="87"/>
      <c r="I6" s="50"/>
      <c r="J6" s="34"/>
      <c r="K6" s="33"/>
      <c r="L6" s="35"/>
      <c r="M6" s="36" t="n">
        <f aca="false">SUM(C6,I6)</f>
        <v>1</v>
      </c>
      <c r="N6" s="37" t="n">
        <f aca="false">SUM(D6,J6)</f>
        <v>3200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1</v>
      </c>
      <c r="X6" s="45" t="n">
        <f aca="false">SUM(N6,R6)</f>
        <v>3200</v>
      </c>
      <c r="Y6" s="46"/>
      <c r="Z6" s="43" t="n">
        <v>439</v>
      </c>
      <c r="AA6" s="41"/>
      <c r="AB6" s="41" t="s">
        <v>327</v>
      </c>
    </row>
    <row r="7" customFormat="false" ht="22.35" hidden="false" customHeight="false" outlineLevel="0" collapsed="false">
      <c r="A7" s="110" t="s">
        <v>328</v>
      </c>
      <c r="B7" s="110" t="s"/>
      <c r="C7" s="28" t="s">
        <v>22</v>
      </c>
      <c r="D7" s="29"/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0</v>
      </c>
      <c r="N7" s="37" t="n">
        <f aca="false">SUM(D7,J7)</f>
        <v>0</v>
      </c>
      <c r="O7" s="39" t="s">
        <v>22</v>
      </c>
      <c r="P7" s="39"/>
      <c r="Q7" s="39"/>
      <c r="R7" s="40"/>
      <c r="S7" s="41"/>
      <c r="T7" s="42"/>
      <c r="U7" s="43" t="n">
        <f aca="false">SUM(Q7)</f>
        <v>0</v>
      </c>
      <c r="V7" s="95" t="n">
        <f aca="false">SUM(R7)</f>
        <v>0</v>
      </c>
      <c r="W7" s="36" t="n">
        <f aca="false">SUM(M7,Q7)</f>
        <v>0</v>
      </c>
      <c r="X7" s="45" t="n">
        <f aca="false">SUM(N7,R7)</f>
        <v>0</v>
      </c>
      <c r="Y7" s="46"/>
      <c r="Z7" s="43" t="n">
        <v>446</v>
      </c>
      <c r="AA7" s="41"/>
      <c r="AB7" s="41" t="s">
        <v>328</v>
      </c>
    </row>
    <row r="8" customFormat="false" ht="22.35" hidden="false" customHeight="false" outlineLevel="0" collapsed="false">
      <c r="A8" s="110" t="s">
        <v>329</v>
      </c>
      <c r="B8" s="110" t="s"/>
      <c r="C8" s="28" t="s">
        <v>22</v>
      </c>
      <c r="D8" s="29"/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0</v>
      </c>
      <c r="N8" s="37" t="n">
        <f aca="false">SUM(D8,J8)</f>
        <v>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0</v>
      </c>
      <c r="X8" s="45" t="n">
        <f aca="false">SUM(N8,R8)</f>
        <v>0</v>
      </c>
      <c r="Y8" s="105"/>
      <c r="Z8" s="43" t="n">
        <v>452</v>
      </c>
      <c r="AA8" s="41"/>
      <c r="AB8" s="41" t="s">
        <v>329</v>
      </c>
    </row>
    <row r="9" customFormat="false" ht="22.35" hidden="false" customHeight="false" outlineLevel="0" collapsed="false">
      <c r="A9" s="110" t="s">
        <v>330</v>
      </c>
      <c r="B9" s="110" t="s"/>
      <c r="C9" s="28" t="s">
        <v>22</v>
      </c>
      <c r="D9" s="29"/>
      <c r="E9" s="30"/>
      <c r="F9" s="31"/>
      <c r="G9" s="77" t="s">
        <v>22</v>
      </c>
      <c r="H9" s="33"/>
      <c r="I9" s="50"/>
      <c r="J9" s="34"/>
      <c r="K9" s="33"/>
      <c r="L9" s="35"/>
      <c r="M9" s="36" t="n">
        <f aca="false">SUM(C9,I9)</f>
        <v>0</v>
      </c>
      <c r="N9" s="37" t="n">
        <f aca="false">SUM(D9,J9)</f>
        <v>0</v>
      </c>
      <c r="O9" s="39" t="s">
        <v>22</v>
      </c>
      <c r="P9" s="39"/>
      <c r="Q9" s="39"/>
      <c r="R9" s="40"/>
      <c r="S9" s="41"/>
      <c r="T9" s="42"/>
      <c r="U9" s="43" t="n">
        <f aca="false">SUM(Q9)</f>
        <v>0</v>
      </c>
      <c r="V9" s="95" t="n">
        <f aca="false">SUM(R9)</f>
        <v>0</v>
      </c>
      <c r="W9" s="36" t="n">
        <f aca="false">SUM(M9,Q9)</f>
        <v>0</v>
      </c>
      <c r="X9" s="45" t="n">
        <f aca="false">SUM(N9,R9)</f>
        <v>0</v>
      </c>
      <c r="Y9" s="46"/>
      <c r="Z9" s="43" t="n">
        <v>458</v>
      </c>
      <c r="AA9" s="41"/>
      <c r="AB9" s="41" t="s">
        <v>330</v>
      </c>
    </row>
    <row r="10" customFormat="false" ht="22.35" hidden="false" customHeight="false" outlineLevel="0" collapsed="false">
      <c r="A10" s="110" t="s">
        <v>331</v>
      </c>
      <c r="B10" s="110" t="s"/>
      <c r="C10" s="28" t="n">
        <v>23</v>
      </c>
      <c r="D10" s="29" t="n">
        <v>432520</v>
      </c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23</v>
      </c>
      <c r="N10" s="37" t="n">
        <f aca="false">SUM(D10,J10)</f>
        <v>432520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23</v>
      </c>
      <c r="X10" s="45" t="n">
        <f aca="false">SUM(N10,R10)</f>
        <v>432520</v>
      </c>
      <c r="Y10" s="46"/>
      <c r="Z10" s="43" t="n">
        <v>465</v>
      </c>
      <c r="AA10" s="41"/>
      <c r="AB10" s="41" t="s">
        <v>331</v>
      </c>
    </row>
    <row r="11" customFormat="false" ht="22.35" hidden="false" customHeight="false" outlineLevel="0" collapsed="false">
      <c r="A11" s="110" t="s">
        <v>332</v>
      </c>
      <c r="B11" s="110" t="s"/>
      <c r="C11" s="28" t="n">
        <v>2</v>
      </c>
      <c r="D11" s="29" t="n">
        <v>89000</v>
      </c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2</v>
      </c>
      <c r="N11" s="37" t="n">
        <f aca="false">SUM(D11,J11)</f>
        <v>89000</v>
      </c>
      <c r="O11" s="73" t="s">
        <v>333</v>
      </c>
      <c r="P11" s="39" t="s">
        <v>22</v>
      </c>
      <c r="Q11" s="39" t="n">
        <v>1</v>
      </c>
      <c r="R11" s="40" t="n">
        <v>1000</v>
      </c>
      <c r="S11" s="41"/>
      <c r="T11" s="42"/>
      <c r="U11" s="43" t="n">
        <f aca="false">SUM(Q11)</f>
        <v>1</v>
      </c>
      <c r="V11" s="95" t="n">
        <f aca="false">SUM(R11)</f>
        <v>1000</v>
      </c>
      <c r="W11" s="36" t="n">
        <f aca="false">SUM(M11,Q11)</f>
        <v>3</v>
      </c>
      <c r="X11" s="45" t="n">
        <f aca="false">SUM(N11,R11)</f>
        <v>90000</v>
      </c>
      <c r="Y11" s="46"/>
      <c r="Z11" s="43" t="n">
        <v>470</v>
      </c>
      <c r="AA11" s="41" t="n">
        <v>471</v>
      </c>
      <c r="AB11" s="41" t="s">
        <v>332</v>
      </c>
    </row>
    <row r="12" customFormat="false" ht="22.35" hidden="false" customHeight="false" outlineLevel="0" collapsed="false">
      <c r="A12" s="110" t="s">
        <v>334</v>
      </c>
      <c r="B12" s="110" t="s"/>
      <c r="C12" s="28" t="n">
        <v>1</v>
      </c>
      <c r="D12" s="29" t="n">
        <v>2200</v>
      </c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1</v>
      </c>
      <c r="N12" s="37" t="n">
        <f aca="false">SUM(D12,J12)</f>
        <v>2200</v>
      </c>
      <c r="O12" s="73" t="s">
        <v>335</v>
      </c>
      <c r="P12" s="39" t="s">
        <v>22</v>
      </c>
      <c r="Q12" s="39" t="n">
        <v>1</v>
      </c>
      <c r="R12" s="40" t="n">
        <v>800</v>
      </c>
      <c r="S12" s="41"/>
      <c r="T12" s="42"/>
      <c r="U12" s="43" t="n">
        <f aca="false">SUM(Q12)</f>
        <v>1</v>
      </c>
      <c r="V12" s="95" t="n">
        <f aca="false">SUM(R12)</f>
        <v>800</v>
      </c>
      <c r="W12" s="36" t="n">
        <f aca="false">SUM(M12,Q12)</f>
        <v>2</v>
      </c>
      <c r="X12" s="45" t="n">
        <f aca="false">SUM(N12,R12)</f>
        <v>3000</v>
      </c>
      <c r="Y12" s="46"/>
      <c r="Z12" s="43" t="n">
        <v>482</v>
      </c>
      <c r="AA12" s="41" t="n">
        <v>483</v>
      </c>
      <c r="AB12" s="41" t="s">
        <v>334</v>
      </c>
    </row>
    <row r="13" customFormat="false" ht="22.35" hidden="false" customHeight="false" outlineLevel="0" collapsed="false">
      <c r="A13" s="110" t="s">
        <v>336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73" t="s">
        <v>337</v>
      </c>
      <c r="P13" s="39" t="s">
        <v>22</v>
      </c>
      <c r="Q13" s="39" t="n">
        <v>1</v>
      </c>
      <c r="R13" s="40" t="n">
        <v>31100</v>
      </c>
      <c r="S13" s="41"/>
      <c r="T13" s="42"/>
      <c r="U13" s="43" t="n">
        <f aca="false">SUM(Q13)</f>
        <v>1</v>
      </c>
      <c r="V13" s="95" t="n">
        <f aca="false">SUM(R13)</f>
        <v>31100</v>
      </c>
      <c r="W13" s="36" t="n">
        <f aca="false">SUM(M13,Q13)</f>
        <v>1</v>
      </c>
      <c r="X13" s="45" t="n">
        <f aca="false">SUM(N13,R13)</f>
        <v>31100</v>
      </c>
      <c r="Y13" s="46"/>
      <c r="Z13" s="43" t="n">
        <v>487</v>
      </c>
      <c r="AA13" s="41"/>
      <c r="AB13" s="41" t="s">
        <v>336</v>
      </c>
    </row>
    <row r="14" customFormat="false" ht="22.35" hidden="false" customHeight="false" outlineLevel="0" collapsed="false">
      <c r="A14" s="110" t="s">
        <v>338</v>
      </c>
      <c r="B14" s="110" t="s"/>
      <c r="C14" s="28" t="n">
        <v>41</v>
      </c>
      <c r="D14" s="29" t="n">
        <v>289840</v>
      </c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41</v>
      </c>
      <c r="N14" s="37" t="n">
        <f aca="false">SUM(D14,J14)</f>
        <v>289840</v>
      </c>
      <c r="O14" s="39" t="s">
        <v>22</v>
      </c>
      <c r="P14" s="39"/>
      <c r="Q14" s="39"/>
      <c r="R14" s="40"/>
      <c r="S14" s="41"/>
      <c r="T14" s="42"/>
      <c r="U14" s="43" t="n">
        <f aca="false">SUM(Q14)</f>
        <v>0</v>
      </c>
      <c r="V14" s="95" t="n">
        <f aca="false">SUM(R14)</f>
        <v>0</v>
      </c>
      <c r="W14" s="36" t="n">
        <f aca="false">SUM(M14,Q14)</f>
        <v>41</v>
      </c>
      <c r="X14" s="45" t="n">
        <f aca="false">SUM(N14,R14)</f>
        <v>289840</v>
      </c>
      <c r="Y14" s="46"/>
      <c r="Z14" s="43" t="n">
        <v>496</v>
      </c>
      <c r="AA14" s="41"/>
      <c r="AB14" s="41" t="s">
        <v>338</v>
      </c>
    </row>
    <row r="15" customFormat="false" ht="22.35" hidden="false" customHeight="false" outlineLevel="0" collapsed="false">
      <c r="A15" s="110" t="s">
        <v>339</v>
      </c>
      <c r="B15" s="110" t="s"/>
      <c r="C15" s="28" t="n">
        <v>93</v>
      </c>
      <c r="D15" s="29" t="n">
        <v>220740</v>
      </c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93</v>
      </c>
      <c r="N15" s="37" t="n">
        <f aca="false">SUM(D15,J15)</f>
        <v>220740</v>
      </c>
      <c r="O15" s="73" t="s">
        <v>340</v>
      </c>
      <c r="P15" s="39" t="s">
        <v>22</v>
      </c>
      <c r="Q15" s="39" t="n">
        <v>1</v>
      </c>
      <c r="R15" s="40" t="n">
        <v>1050</v>
      </c>
      <c r="S15" s="41"/>
      <c r="T15" s="42"/>
      <c r="U15" s="43" t="n">
        <f aca="false">SUM(Q15)</f>
        <v>1</v>
      </c>
      <c r="V15" s="95" t="n">
        <f aca="false">SUM(R15)</f>
        <v>1050</v>
      </c>
      <c r="W15" s="36" t="n">
        <f aca="false">SUM(M15,Q15)</f>
        <v>94</v>
      </c>
      <c r="X15" s="45" t="n">
        <f aca="false">SUM(N15,R15)</f>
        <v>221790</v>
      </c>
      <c r="Y15" s="46"/>
      <c r="Z15" s="43" t="n">
        <v>502</v>
      </c>
      <c r="AA15" s="41"/>
      <c r="AB15" s="41" t="s">
        <v>339</v>
      </c>
    </row>
    <row r="16" customFormat="false" ht="22.35" hidden="false" customHeight="false" outlineLevel="0" collapsed="false">
      <c r="A16" s="110" t="s">
        <v>341</v>
      </c>
      <c r="B16" s="110" t="s"/>
      <c r="C16" s="28" t="s">
        <v>22</v>
      </c>
      <c r="D16" s="29"/>
      <c r="E16" s="30"/>
      <c r="F16" s="31"/>
      <c r="G16" s="77" t="s">
        <v>22</v>
      </c>
      <c r="H16" s="33"/>
      <c r="I16" s="50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0</v>
      </c>
      <c r="X16" s="45" t="n">
        <f aca="false">SUM(N16,R16)</f>
        <v>0</v>
      </c>
      <c r="Y16" s="46"/>
      <c r="Z16" s="43" t="n">
        <v>507</v>
      </c>
      <c r="AA16" s="41"/>
      <c r="AB16" s="41" t="s">
        <v>341</v>
      </c>
    </row>
    <row r="17" customFormat="false" ht="22.35" hidden="false" customHeight="false" outlineLevel="0" collapsed="false">
      <c r="A17" s="110" t="s">
        <v>342</v>
      </c>
      <c r="B17" s="110" t="s"/>
      <c r="C17" s="28" t="n">
        <v>7</v>
      </c>
      <c r="D17" s="29" t="n">
        <v>21400</v>
      </c>
      <c r="E17" s="30"/>
      <c r="F17" s="31"/>
      <c r="G17" s="77" t="s">
        <v>22</v>
      </c>
      <c r="H17" s="33"/>
      <c r="I17" s="50"/>
      <c r="J17" s="34"/>
      <c r="K17" s="33"/>
      <c r="L17" s="35"/>
      <c r="M17" s="36" t="n">
        <f aca="false">SUM(C17,I17)</f>
        <v>7</v>
      </c>
      <c r="N17" s="37" t="n">
        <f aca="false">SUM(D17,J17)</f>
        <v>21400</v>
      </c>
      <c r="O17" s="39" t="s">
        <v>22</v>
      </c>
      <c r="P17" s="39"/>
      <c r="Q17" s="39"/>
      <c r="R17" s="40"/>
      <c r="S17" s="41"/>
      <c r="T17" s="42"/>
      <c r="U17" s="43" t="n">
        <f aca="false">SUM(Q17)</f>
        <v>0</v>
      </c>
      <c r="V17" s="95" t="n">
        <f aca="false">SUM(R17)</f>
        <v>0</v>
      </c>
      <c r="W17" s="36" t="n">
        <f aca="false">SUM(M17,Q17)</f>
        <v>7</v>
      </c>
      <c r="X17" s="45" t="n">
        <f aca="false">SUM(N17,R17)</f>
        <v>21400</v>
      </c>
      <c r="Y17" s="46"/>
      <c r="Z17" s="43" t="n">
        <v>513</v>
      </c>
      <c r="AA17" s="41"/>
      <c r="AB17" s="41" t="s">
        <v>342</v>
      </c>
    </row>
    <row r="18" customFormat="false" ht="22.35" hidden="false" customHeight="false" outlineLevel="0" collapsed="false">
      <c r="A18" s="110" t="s">
        <v>343</v>
      </c>
      <c r="B18" s="110" t="s"/>
      <c r="C18" s="28" t="n">
        <v>4</v>
      </c>
      <c r="D18" s="29" t="n">
        <v>20800</v>
      </c>
      <c r="E18" s="30"/>
      <c r="F18" s="31"/>
      <c r="G18" s="33" t="s">
        <v>22</v>
      </c>
      <c r="H18" s="33"/>
      <c r="I18" s="50"/>
      <c r="J18" s="34"/>
      <c r="K18" s="33"/>
      <c r="L18" s="35"/>
      <c r="M18" s="36" t="n">
        <f aca="false">SUM(C18,I18)</f>
        <v>4</v>
      </c>
      <c r="N18" s="37" t="n">
        <f aca="false">SUM(D18,J18)</f>
        <v>20800</v>
      </c>
      <c r="O18" s="73" t="s">
        <v>344</v>
      </c>
      <c r="P18" s="39" t="s">
        <v>22</v>
      </c>
      <c r="Q18" s="39" t="n">
        <v>1</v>
      </c>
      <c r="R18" s="40" t="n">
        <v>42390</v>
      </c>
      <c r="S18" s="41"/>
      <c r="T18" s="42"/>
      <c r="U18" s="43" t="n">
        <f aca="false">SUM(Q18)</f>
        <v>1</v>
      </c>
      <c r="V18" s="95" t="n">
        <f aca="false">SUM(R18)</f>
        <v>42390</v>
      </c>
      <c r="W18" s="36" t="n">
        <f aca="false">SUM(M18,Q18)</f>
        <v>5</v>
      </c>
      <c r="X18" s="45" t="n">
        <f aca="false">SUM(N18,R18)</f>
        <v>63190</v>
      </c>
      <c r="Y18" s="49"/>
      <c r="Z18" s="43" t="n">
        <v>519</v>
      </c>
      <c r="AA18" s="41" t="n">
        <v>520</v>
      </c>
      <c r="AB18" s="41" t="s">
        <v>343</v>
      </c>
    </row>
    <row r="19" customFormat="false" ht="22.35" hidden="false" customHeight="false" outlineLevel="0" collapsed="false">
      <c r="A19" s="110" t="s">
        <v>345</v>
      </c>
      <c r="B19" s="110" t="s"/>
      <c r="C19" s="28" t="n">
        <v>38</v>
      </c>
      <c r="D19" s="29" t="n">
        <v>3847680</v>
      </c>
      <c r="E19" s="30"/>
      <c r="F19" s="31"/>
      <c r="G19" s="77" t="s">
        <v>22</v>
      </c>
      <c r="H19" s="33"/>
      <c r="I19" s="50"/>
      <c r="J19" s="34"/>
      <c r="K19" s="33"/>
      <c r="L19" s="35"/>
      <c r="M19" s="36" t="n">
        <f aca="false">SUM(C19,I19)</f>
        <v>38</v>
      </c>
      <c r="N19" s="37" t="n">
        <f aca="false">SUM(D19,J19)</f>
        <v>3847680</v>
      </c>
      <c r="O19" s="73" t="s">
        <v>346</v>
      </c>
      <c r="P19" s="39" t="s">
        <v>22</v>
      </c>
      <c r="Q19" s="39" t="n">
        <v>1</v>
      </c>
      <c r="R19" s="40" t="n">
        <v>1370.2</v>
      </c>
      <c r="S19" s="41"/>
      <c r="T19" s="42"/>
      <c r="U19" s="43" t="n">
        <f aca="false">SUM(Q19)</f>
        <v>1</v>
      </c>
      <c r="V19" s="95" t="n">
        <f aca="false">SUM(R19)</f>
        <v>1370.2</v>
      </c>
      <c r="W19" s="36" t="n">
        <f aca="false">SUM(M19,Q19)</f>
        <v>39</v>
      </c>
      <c r="X19" s="45" t="n">
        <f aca="false">SUM(N19,R19)</f>
        <v>3849050.2</v>
      </c>
      <c r="Y19" s="49"/>
      <c r="Z19" s="43" t="n">
        <v>526</v>
      </c>
      <c r="AA19" s="41" t="n">
        <v>527</v>
      </c>
      <c r="AB19" s="41" t="s">
        <v>345</v>
      </c>
    </row>
    <row r="20" customFormat="false" ht="22.35" hidden="false" customHeight="false" outlineLevel="0" collapsed="false">
      <c r="A20" s="110" t="s">
        <v>347</v>
      </c>
      <c r="B20" s="110" t="s"/>
      <c r="C20" s="28" t="n">
        <v>2</v>
      </c>
      <c r="D20" s="29" t="n">
        <v>4265120</v>
      </c>
      <c r="E20" s="30"/>
      <c r="F20" s="31"/>
      <c r="G20" s="76" t="s">
        <v>348</v>
      </c>
      <c r="H20" s="33" t="s">
        <v>22</v>
      </c>
      <c r="I20" s="50" t="n">
        <v>1</v>
      </c>
      <c r="J20" s="34" t="n">
        <v>200</v>
      </c>
      <c r="K20" s="33"/>
      <c r="L20" s="35"/>
      <c r="M20" s="36" t="n">
        <f aca="false">SUM(C20,I20)</f>
        <v>3</v>
      </c>
      <c r="N20" s="37" t="n">
        <f aca="false">SUM(D20,J20)</f>
        <v>4265320</v>
      </c>
      <c r="O20" s="73" t="s">
        <v>349</v>
      </c>
      <c r="P20" s="39" t="s">
        <v>22</v>
      </c>
      <c r="Q20" s="39" t="n">
        <v>1</v>
      </c>
      <c r="R20" s="40" t="n">
        <v>1585.5</v>
      </c>
      <c r="S20" s="41"/>
      <c r="T20" s="42"/>
      <c r="U20" s="43" t="n">
        <f aca="false">SUM(Q20)</f>
        <v>1</v>
      </c>
      <c r="V20" s="95" t="n">
        <f aca="false">SUM(R20)</f>
        <v>1585.5</v>
      </c>
      <c r="W20" s="36" t="n">
        <f aca="false">SUM(M20,Q20)</f>
        <v>4</v>
      </c>
      <c r="X20" s="45" t="n">
        <f aca="false">SUM(N20,R20)</f>
        <v>4266905.5</v>
      </c>
      <c r="Y20" s="46"/>
      <c r="Z20" s="43" t="n">
        <v>533</v>
      </c>
      <c r="AA20" s="41"/>
      <c r="AB20" s="41" t="s">
        <v>347</v>
      </c>
    </row>
    <row r="21" customFormat="false" ht="22.35" hidden="false" customHeight="false" outlineLevel="0" collapsed="false">
      <c r="A21" s="110" t="s">
        <v>350</v>
      </c>
      <c r="B21" s="110" t="s"/>
      <c r="C21" s="28" t="n">
        <v>2</v>
      </c>
      <c r="D21" s="29" t="n">
        <v>658740</v>
      </c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2</v>
      </c>
      <c r="N21" s="37" t="n">
        <f aca="false">SUM(D21,J21)</f>
        <v>658740</v>
      </c>
      <c r="O21" s="39" t="s">
        <v>22</v>
      </c>
      <c r="P21" s="39"/>
      <c r="Q21" s="39"/>
      <c r="R21" s="40"/>
      <c r="S21" s="41"/>
      <c r="T21" s="42"/>
      <c r="U21" s="43" t="n">
        <f aca="false">SUM(Q21)</f>
        <v>0</v>
      </c>
      <c r="V21" s="95" t="n">
        <f aca="false">SUM(R21)</f>
        <v>0</v>
      </c>
      <c r="W21" s="36" t="n">
        <f aca="false">SUM(M21,Q21)</f>
        <v>2</v>
      </c>
      <c r="X21" s="45" t="n">
        <f aca="false">SUM(N21,R21)</f>
        <v>658740</v>
      </c>
      <c r="Y21" s="46"/>
      <c r="Z21" s="43" t="n">
        <v>538</v>
      </c>
      <c r="AA21" s="41"/>
      <c r="AB21" s="41" t="s">
        <v>350</v>
      </c>
    </row>
    <row r="22" customFormat="false" ht="22.35" hidden="false" customHeight="false" outlineLevel="0" collapsed="false">
      <c r="A22" s="110" t="s">
        <v>351</v>
      </c>
      <c r="B22" s="110" t="s"/>
      <c r="C22" s="28" t="s">
        <v>22</v>
      </c>
      <c r="D22" s="29"/>
      <c r="E22" s="30"/>
      <c r="F22" s="31"/>
      <c r="G22" s="77" t="s">
        <v>22</v>
      </c>
      <c r="H22" s="33"/>
      <c r="I22" s="50"/>
      <c r="J22" s="34"/>
      <c r="K22" s="33"/>
      <c r="L22" s="35"/>
      <c r="M22" s="36" t="n">
        <f aca="false">SUM(C22,I22)</f>
        <v>0</v>
      </c>
      <c r="N22" s="37" t="n">
        <f aca="false">SUM(D22,J22)</f>
        <v>0</v>
      </c>
      <c r="O22" s="39" t="s">
        <v>22</v>
      </c>
      <c r="P22" s="39"/>
      <c r="Q22" s="39"/>
      <c r="R22" s="40"/>
      <c r="S22" s="41"/>
      <c r="T22" s="42"/>
      <c r="U22" s="43" t="n">
        <f aca="false">SUM(Q22)</f>
        <v>0</v>
      </c>
      <c r="V22" s="95" t="n">
        <f aca="false">SUM(R22)</f>
        <v>0</v>
      </c>
      <c r="W22" s="36" t="n">
        <f aca="false">SUM(M22,Q22)</f>
        <v>0</v>
      </c>
      <c r="X22" s="45" t="n">
        <f aca="false">SUM(N22,R22)</f>
        <v>0</v>
      </c>
      <c r="Y22" s="46"/>
      <c r="Z22" s="43" t="n">
        <v>544</v>
      </c>
      <c r="AA22" s="41"/>
      <c r="AB22" s="41" t="s">
        <v>351</v>
      </c>
    </row>
    <row r="23" customFormat="false" ht="22.35" hidden="false" customHeight="false" outlineLevel="0" collapsed="false">
      <c r="A23" s="110" t="s">
        <v>352</v>
      </c>
      <c r="B23" s="110" t="s"/>
      <c r="C23" s="28" t="n">
        <v>1</v>
      </c>
      <c r="D23" s="29" t="n">
        <v>8200</v>
      </c>
      <c r="E23" s="30"/>
      <c r="F23" s="31"/>
      <c r="G23" s="76" t="s">
        <v>353</v>
      </c>
      <c r="H23" s="33" t="s">
        <v>22</v>
      </c>
      <c r="I23" s="50" t="n">
        <v>1</v>
      </c>
      <c r="J23" s="34" t="n">
        <v>500</v>
      </c>
      <c r="K23" s="33"/>
      <c r="L23" s="35"/>
      <c r="M23" s="36" t="n">
        <f aca="false">SUM(C23,I23)</f>
        <v>2</v>
      </c>
      <c r="N23" s="37" t="n">
        <f aca="false">SUM(D23,J23)</f>
        <v>8700</v>
      </c>
      <c r="O23" s="72" t="s">
        <v>354</v>
      </c>
      <c r="P23" s="73" t="s">
        <v>355</v>
      </c>
      <c r="Q23" s="39" t="n">
        <v>3</v>
      </c>
      <c r="R23" s="40" t="n">
        <v>34556</v>
      </c>
      <c r="S23" s="41"/>
      <c r="T23" s="42"/>
      <c r="U23" s="43" t="n">
        <f aca="false">SUM(Q23)</f>
        <v>3</v>
      </c>
      <c r="V23" s="95" t="n">
        <f aca="false">SUM(R23)</f>
        <v>34556</v>
      </c>
      <c r="W23" s="36" t="n">
        <f aca="false">SUM(M23,Q23)</f>
        <v>5</v>
      </c>
      <c r="X23" s="45" t="n">
        <f aca="false">SUM(N23,R23)</f>
        <v>43256</v>
      </c>
      <c r="Y23" s="46"/>
      <c r="Z23" s="43" t="n">
        <v>553</v>
      </c>
      <c r="AA23" s="41"/>
      <c r="AB23" s="41" t="s">
        <v>352</v>
      </c>
    </row>
    <row r="24" customFormat="false" ht="19.7" hidden="false" customHeight="false" outlineLevel="0" collapsed="false">
      <c r="A24" s="52" t="s">
        <v>23</v>
      </c>
      <c r="B24" s="52" t="s"/>
      <c r="C24" s="53" t="n">
        <f aca="false">SUM(C6:C23)</f>
        <v>215</v>
      </c>
      <c r="D24" s="54" t="n">
        <f aca="false">SUM(D6:D23)</f>
        <v>9859440</v>
      </c>
      <c r="E24" s="55" t="n">
        <f aca="false">SUM(E6:E23)</f>
        <v>0</v>
      </c>
      <c r="F24" s="56" t="n">
        <f aca="false">SUM(F6:F23)</f>
        <v>0</v>
      </c>
      <c r="G24" s="57" t="s">
        <v>23</v>
      </c>
      <c r="H24" s="57"/>
      <c r="I24" s="58" t="n">
        <f aca="false">SUM(I6:I23)</f>
        <v>2</v>
      </c>
      <c r="J24" s="54" t="n">
        <f aca="false">SUM(J6:J23)</f>
        <v>700</v>
      </c>
      <c r="K24" s="55" t="n">
        <f aca="false">SUM(K6:K23)</f>
        <v>0</v>
      </c>
      <c r="L24" s="56"/>
      <c r="M24" s="59" t="n">
        <f aca="false">SUM(M6:M23)</f>
        <v>217</v>
      </c>
      <c r="N24" s="60" t="n">
        <f aca="false">SUM(N6:N23)</f>
        <v>9860140</v>
      </c>
      <c r="O24" s="57" t="s">
        <v>23</v>
      </c>
      <c r="P24" s="57"/>
      <c r="Q24" s="61" t="n">
        <f aca="false">SUM(Q6:Q23)</f>
        <v>10</v>
      </c>
      <c r="R24" s="62" t="n">
        <f aca="false">SUM(R6:R23)</f>
        <v>113851.7</v>
      </c>
      <c r="S24" s="55" t="n">
        <f aca="false">SUM(S6:S23)</f>
        <v>0</v>
      </c>
      <c r="T24" s="56" t="n">
        <f aca="false">SUM(T6:T23)</f>
        <v>0</v>
      </c>
      <c r="U24" s="101" t="n">
        <f aca="false">SUM(U6:U23)</f>
        <v>10</v>
      </c>
      <c r="V24" s="102" t="n">
        <f aca="false">SUM(V6:V23)</f>
        <v>113851.7</v>
      </c>
      <c r="W24" s="59" t="n">
        <f aca="false">SUM(W6:W23)</f>
        <v>227</v>
      </c>
      <c r="X24" s="65" t="n">
        <f aca="false">SUM(X6:X23)</f>
        <v>9973991.7</v>
      </c>
      <c r="Y24" s="66"/>
      <c r="Z24" s="67"/>
      <c r="AA24" s="67"/>
      <c r="AB24" s="67"/>
    </row>
    <row r="25" customFormat="false" ht="15.75" hidden="false" customHeight="false" outlineLevel="0" collapsed="false">
      <c r="A25" s="2"/>
      <c r="B25" s="2"/>
      <c r="C25" s="2"/>
      <c r="D25" s="68"/>
      <c r="E25" s="2"/>
      <c r="F25" s="2"/>
      <c r="G25" s="2"/>
      <c r="H25" s="2"/>
      <c r="I25" s="3"/>
      <c r="J25" s="3"/>
      <c r="K25" s="2"/>
      <c r="L25" s="2"/>
      <c r="M25" s="2"/>
      <c r="N25" s="2"/>
      <c r="O25" s="2"/>
      <c r="P25" s="2"/>
      <c r="Q25" s="3"/>
      <c r="R25" s="3"/>
      <c r="S25" s="2"/>
      <c r="T25" s="2"/>
      <c r="U25" s="2"/>
      <c r="V25" s="2"/>
      <c r="W25" s="2"/>
      <c r="X25" s="2"/>
      <c r="Y25" s="69"/>
      <c r="Z25" s="2"/>
      <c r="AA25" s="2"/>
      <c r="AB25" s="2"/>
    </row>
    <row r="26" customFormat="false" ht="15.75" hidden="false" customHeight="false" outlineLevel="0" collapsed="false">
      <c r="A26" s="2"/>
      <c r="B26" s="2"/>
      <c r="C26" s="2"/>
      <c r="D26" s="3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9"/>
      <c r="Z26" s="2"/>
      <c r="AA26" s="2"/>
      <c r="AB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4:H24"/>
    <mergeCell ref="O24:P2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outlinePr summaryBelow="0"/>
    <pageSetUpPr fitToPage="true"/>
  </sheetPr>
  <dimension ref="A1:A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7" min="7" style="0" width="14.38"/>
    <col collapsed="false" customWidth="true" hidden="false" outlineLevel="0" max="8" min="8" style="0" width="16.25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356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357</v>
      </c>
      <c r="B6" s="110" t="s"/>
      <c r="C6" s="28" t="s">
        <v>22</v>
      </c>
      <c r="D6" s="29"/>
      <c r="E6" s="30"/>
      <c r="F6" s="31"/>
      <c r="G6" s="77" t="s">
        <v>22</v>
      </c>
      <c r="H6" s="87"/>
      <c r="I6" s="50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0</v>
      </c>
      <c r="X6" s="45" t="n">
        <f aca="false">SUM(N6,R6)</f>
        <v>0</v>
      </c>
      <c r="Y6" s="46"/>
      <c r="Z6" s="43" t="n">
        <v>557</v>
      </c>
      <c r="AA6" s="41"/>
      <c r="AB6" s="41" t="s">
        <v>357</v>
      </c>
    </row>
    <row r="7" customFormat="false" ht="22.35" hidden="false" customHeight="false" outlineLevel="0" collapsed="false">
      <c r="A7" s="110" t="s">
        <v>358</v>
      </c>
      <c r="B7" s="110" t="s"/>
      <c r="C7" s="28" t="n">
        <v>2</v>
      </c>
      <c r="D7" s="29" t="n">
        <v>730400</v>
      </c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2</v>
      </c>
      <c r="N7" s="37" t="n">
        <f aca="false">SUM(D7,J7)</f>
        <v>730400</v>
      </c>
      <c r="O7" s="39" t="s">
        <v>22</v>
      </c>
      <c r="P7" s="39"/>
      <c r="Q7" s="39"/>
      <c r="R7" s="40"/>
      <c r="S7" s="41"/>
      <c r="T7" s="42"/>
      <c r="U7" s="43" t="n">
        <f aca="false">SUM(Q7)</f>
        <v>0</v>
      </c>
      <c r="V7" s="95" t="n">
        <f aca="false">SUM(R7)</f>
        <v>0</v>
      </c>
      <c r="W7" s="36" t="n">
        <f aca="false">SUM(M7,Q7)</f>
        <v>2</v>
      </c>
      <c r="X7" s="45" t="n">
        <f aca="false">SUM(N7,R7)</f>
        <v>730400</v>
      </c>
      <c r="Y7" s="46"/>
      <c r="Z7" s="43" t="n">
        <v>563</v>
      </c>
      <c r="AA7" s="41"/>
      <c r="AB7" s="41" t="s">
        <v>358</v>
      </c>
    </row>
    <row r="8" customFormat="false" ht="22.35" hidden="false" customHeight="false" outlineLevel="0" collapsed="false">
      <c r="A8" s="110" t="s">
        <v>359</v>
      </c>
      <c r="B8" s="110" t="s"/>
      <c r="C8" s="28" t="n">
        <v>1</v>
      </c>
      <c r="D8" s="29" t="n">
        <v>1529340</v>
      </c>
      <c r="E8" s="30"/>
      <c r="F8" s="31"/>
      <c r="G8" s="76" t="s">
        <v>360</v>
      </c>
      <c r="H8" s="33" t="s">
        <v>22</v>
      </c>
      <c r="I8" s="50" t="n">
        <v>1</v>
      </c>
      <c r="J8" s="34" t="n">
        <v>500</v>
      </c>
      <c r="K8" s="33"/>
      <c r="L8" s="35"/>
      <c r="M8" s="36" t="n">
        <f aca="false">SUM(C8,I8)</f>
        <v>2</v>
      </c>
      <c r="N8" s="37" t="n">
        <f aca="false">SUM(D8,J8)</f>
        <v>1529840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2</v>
      </c>
      <c r="X8" s="45" t="n">
        <f aca="false">SUM(N8,R8)</f>
        <v>1529840</v>
      </c>
      <c r="Y8" s="105"/>
      <c r="Z8" s="43" t="n">
        <v>571</v>
      </c>
      <c r="AA8" s="41" t="n">
        <v>572</v>
      </c>
      <c r="AB8" s="41" t="s">
        <v>359</v>
      </c>
    </row>
    <row r="9" customFormat="false" ht="22.35" hidden="false" customHeight="false" outlineLevel="0" collapsed="false">
      <c r="A9" s="110" t="s">
        <v>361</v>
      </c>
      <c r="B9" s="110" t="s"/>
      <c r="C9" s="28" t="s">
        <v>22</v>
      </c>
      <c r="D9" s="29"/>
      <c r="E9" s="30"/>
      <c r="F9" s="31"/>
      <c r="G9" s="76" t="s">
        <v>362</v>
      </c>
      <c r="H9" s="71" t="s">
        <v>363</v>
      </c>
      <c r="I9" s="50" t="n">
        <v>2</v>
      </c>
      <c r="J9" s="34" t="n">
        <v>1000</v>
      </c>
      <c r="K9" s="33"/>
      <c r="L9" s="35"/>
      <c r="M9" s="36" t="n">
        <f aca="false">SUM(C9,I9)</f>
        <v>2</v>
      </c>
      <c r="N9" s="37" t="n">
        <f aca="false">SUM(D9,J9)</f>
        <v>1000</v>
      </c>
      <c r="O9" s="73" t="s">
        <v>364</v>
      </c>
      <c r="P9" s="73" t="s">
        <v>365</v>
      </c>
      <c r="Q9" s="39" t="n">
        <v>2</v>
      </c>
      <c r="R9" s="40" t="n">
        <v>2346.9</v>
      </c>
      <c r="S9" s="41"/>
      <c r="T9" s="42"/>
      <c r="U9" s="43" t="n">
        <f aca="false">SUM(Q9)</f>
        <v>2</v>
      </c>
      <c r="V9" s="95" t="n">
        <f aca="false">SUM(R9)</f>
        <v>2346.9</v>
      </c>
      <c r="W9" s="36" t="n">
        <f aca="false">SUM(M9,Q9)</f>
        <v>4</v>
      </c>
      <c r="X9" s="45" t="n">
        <f aca="false">SUM(N9,R9)</f>
        <v>3346.9</v>
      </c>
      <c r="Y9" s="46"/>
      <c r="Z9" s="43" t="n">
        <v>579</v>
      </c>
      <c r="AA9" s="41" t="n">
        <v>580</v>
      </c>
      <c r="AB9" s="41" t="s">
        <v>361</v>
      </c>
    </row>
    <row r="10" customFormat="false" ht="22.35" hidden="false" customHeight="false" outlineLevel="0" collapsed="false">
      <c r="A10" s="110" t="s">
        <v>366</v>
      </c>
      <c r="B10" s="110" t="s"/>
      <c r="C10" s="28" t="n">
        <v>2</v>
      </c>
      <c r="D10" s="29" t="n">
        <v>548360</v>
      </c>
      <c r="E10" s="30"/>
      <c r="F10" s="31"/>
      <c r="G10" s="76" t="s">
        <v>367</v>
      </c>
      <c r="H10" s="33" t="s">
        <v>22</v>
      </c>
      <c r="I10" s="50" t="n">
        <v>1</v>
      </c>
      <c r="J10" s="34" t="n">
        <v>1200</v>
      </c>
      <c r="K10" s="33"/>
      <c r="L10" s="35"/>
      <c r="M10" s="36" t="n">
        <f aca="false">SUM(C10,I10)</f>
        <v>3</v>
      </c>
      <c r="N10" s="37" t="n">
        <f aca="false">SUM(D10,J10)</f>
        <v>549560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3</v>
      </c>
      <c r="X10" s="45" t="n">
        <f aca="false">SUM(N10,R10)</f>
        <v>549560</v>
      </c>
      <c r="Y10" s="46"/>
      <c r="Z10" s="43" t="n">
        <v>588</v>
      </c>
      <c r="AA10" s="41" t="n">
        <v>590</v>
      </c>
      <c r="AB10" s="41" t="s">
        <v>366</v>
      </c>
    </row>
    <row r="11" customFormat="false" ht="22.35" hidden="false" customHeight="false" outlineLevel="0" collapsed="false">
      <c r="A11" s="110" t="s">
        <v>368</v>
      </c>
      <c r="B11" s="110" t="s"/>
      <c r="C11" s="28" t="n">
        <v>5</v>
      </c>
      <c r="D11" s="29" t="n">
        <v>230000</v>
      </c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5</v>
      </c>
      <c r="N11" s="37" t="n">
        <f aca="false">SUM(D11,J11)</f>
        <v>230000</v>
      </c>
      <c r="O11" s="39" t="s">
        <v>22</v>
      </c>
      <c r="P11" s="39"/>
      <c r="Q11" s="39"/>
      <c r="R11" s="40"/>
      <c r="S11" s="41"/>
      <c r="T11" s="42"/>
      <c r="U11" s="43" t="n">
        <f aca="false">SUM(Q11)</f>
        <v>0</v>
      </c>
      <c r="V11" s="95" t="n">
        <f aca="false">SUM(R11)</f>
        <v>0</v>
      </c>
      <c r="W11" s="36" t="n">
        <f aca="false">SUM(M11,Q11)</f>
        <v>5</v>
      </c>
      <c r="X11" s="45" t="n">
        <f aca="false">SUM(N11,R11)</f>
        <v>230000</v>
      </c>
      <c r="Y11" s="46"/>
      <c r="Z11" s="43" t="n">
        <v>594</v>
      </c>
      <c r="AA11" s="41"/>
      <c r="AB11" s="41" t="s">
        <v>368</v>
      </c>
    </row>
    <row r="12" customFormat="false" ht="22.35" hidden="false" customHeight="false" outlineLevel="0" collapsed="false">
      <c r="A12" s="110" t="s">
        <v>369</v>
      </c>
      <c r="B12" s="110" t="s"/>
      <c r="C12" s="28" t="s">
        <v>22</v>
      </c>
      <c r="D12" s="29"/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9" t="s">
        <v>22</v>
      </c>
      <c r="P12" s="39"/>
      <c r="Q12" s="39"/>
      <c r="R12" s="40"/>
      <c r="S12" s="41"/>
      <c r="T12" s="42"/>
      <c r="U12" s="43" t="n">
        <f aca="false">SUM(Q12)</f>
        <v>0</v>
      </c>
      <c r="V12" s="95" t="n">
        <f aca="false">SUM(R12)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 t="n">
        <v>600</v>
      </c>
      <c r="AA12" s="41"/>
      <c r="AB12" s="41" t="s">
        <v>369</v>
      </c>
    </row>
    <row r="13" customFormat="false" ht="22.35" hidden="false" customHeight="false" outlineLevel="0" collapsed="false">
      <c r="A13" s="110" t="s">
        <v>370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73" t="s">
        <v>371</v>
      </c>
      <c r="P13" s="39" t="s">
        <v>22</v>
      </c>
      <c r="Q13" s="39" t="n">
        <v>1</v>
      </c>
      <c r="R13" s="40" t="n">
        <v>1395.61</v>
      </c>
      <c r="S13" s="41"/>
      <c r="T13" s="42"/>
      <c r="U13" s="43" t="n">
        <f aca="false">SUM(Q13)</f>
        <v>1</v>
      </c>
      <c r="V13" s="95" t="n">
        <f aca="false">SUM(R13)</f>
        <v>1395.61</v>
      </c>
      <c r="W13" s="36" t="n">
        <f aca="false">SUM(M13,Q13)</f>
        <v>1</v>
      </c>
      <c r="X13" s="45" t="n">
        <f aca="false">SUM(N13,R13)</f>
        <v>1395.61</v>
      </c>
      <c r="Y13" s="46"/>
      <c r="Z13" s="43" t="n">
        <v>605</v>
      </c>
      <c r="AA13" s="41" t="n">
        <v>606</v>
      </c>
      <c r="AB13" s="41" t="s">
        <v>370</v>
      </c>
    </row>
    <row r="14" customFormat="false" ht="22.35" hidden="false" customHeight="false" outlineLevel="0" collapsed="false">
      <c r="A14" s="110" t="s">
        <v>372</v>
      </c>
      <c r="B14" s="110" t="s"/>
      <c r="C14" s="28" t="s">
        <v>22</v>
      </c>
      <c r="D14" s="29"/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0</v>
      </c>
      <c r="N14" s="37" t="n">
        <f aca="false">SUM(D14,J14)</f>
        <v>0</v>
      </c>
      <c r="O14" s="39" t="s">
        <v>22</v>
      </c>
      <c r="P14" s="39"/>
      <c r="Q14" s="39"/>
      <c r="R14" s="40"/>
      <c r="S14" s="41"/>
      <c r="T14" s="42"/>
      <c r="U14" s="43" t="n">
        <f aca="false">SUM(Q14)</f>
        <v>0</v>
      </c>
      <c r="V14" s="95" t="n">
        <f aca="false">SUM(R14)</f>
        <v>0</v>
      </c>
      <c r="W14" s="36" t="n">
        <f aca="false">SUM(M14,Q14)</f>
        <v>0</v>
      </c>
      <c r="X14" s="45" t="n">
        <f aca="false">SUM(N14,R14)</f>
        <v>0</v>
      </c>
      <c r="Y14" s="46"/>
      <c r="Z14" s="43" t="n">
        <v>616</v>
      </c>
      <c r="AA14" s="41"/>
      <c r="AB14" s="41" t="s">
        <v>372</v>
      </c>
    </row>
    <row r="15" customFormat="false" ht="22.35" hidden="false" customHeight="false" outlineLevel="0" collapsed="false">
      <c r="A15" s="110" t="s">
        <v>373</v>
      </c>
      <c r="B15" s="110" t="s"/>
      <c r="C15" s="28" t="n">
        <v>1</v>
      </c>
      <c r="D15" s="29" t="n">
        <v>258960</v>
      </c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1</v>
      </c>
      <c r="N15" s="37" t="n">
        <f aca="false">SUM(D15,J15)</f>
        <v>258960</v>
      </c>
      <c r="O15" s="39" t="s">
        <v>22</v>
      </c>
      <c r="P15" s="39"/>
      <c r="Q15" s="39"/>
      <c r="R15" s="40"/>
      <c r="S15" s="41"/>
      <c r="T15" s="42"/>
      <c r="U15" s="43" t="n">
        <f aca="false">SUM(Q15)</f>
        <v>0</v>
      </c>
      <c r="V15" s="95" t="n">
        <f aca="false">SUM(R15)</f>
        <v>0</v>
      </c>
      <c r="W15" s="36" t="n">
        <f aca="false">SUM(M15,Q15)</f>
        <v>1</v>
      </c>
      <c r="X15" s="45" t="n">
        <f aca="false">SUM(N15,R15)</f>
        <v>258960</v>
      </c>
      <c r="Y15" s="46"/>
      <c r="Z15" s="43" t="n">
        <v>620</v>
      </c>
      <c r="AA15" s="41"/>
      <c r="AB15" s="41" t="s">
        <v>373</v>
      </c>
    </row>
    <row r="16" customFormat="false" ht="22.35" hidden="false" customHeight="false" outlineLevel="0" collapsed="false">
      <c r="A16" s="110" t="s">
        <v>374</v>
      </c>
      <c r="B16" s="110" t="s"/>
      <c r="C16" s="28" t="n">
        <v>1</v>
      </c>
      <c r="D16" s="29" t="n">
        <v>200</v>
      </c>
      <c r="E16" s="30"/>
      <c r="F16" s="31"/>
      <c r="G16" s="33" t="s">
        <v>22</v>
      </c>
      <c r="H16" s="33"/>
      <c r="I16" s="50"/>
      <c r="J16" s="34"/>
      <c r="K16" s="33"/>
      <c r="L16" s="35"/>
      <c r="M16" s="36" t="n">
        <f aca="false">SUM(C16,I16)</f>
        <v>1</v>
      </c>
      <c r="N16" s="37" t="n">
        <f aca="false">SUM(D16,J16)</f>
        <v>200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1</v>
      </c>
      <c r="X16" s="45" t="n">
        <f aca="false">SUM(N16,R16)</f>
        <v>200</v>
      </c>
      <c r="Y16" s="49"/>
      <c r="Z16" s="43" t="n">
        <v>626</v>
      </c>
      <c r="AA16" s="41"/>
      <c r="AB16" s="41" t="s">
        <v>374</v>
      </c>
    </row>
    <row r="17" customFormat="false" ht="22.35" hidden="false" customHeight="false" outlineLevel="0" collapsed="false">
      <c r="A17" s="110" t="s">
        <v>375</v>
      </c>
      <c r="B17" s="110" t="s"/>
      <c r="C17" s="28" t="n">
        <v>1</v>
      </c>
      <c r="D17" s="29" t="n">
        <v>7070220</v>
      </c>
      <c r="E17" s="30"/>
      <c r="F17" s="31"/>
      <c r="G17" s="76" t="s">
        <v>376</v>
      </c>
      <c r="H17" s="33" t="s">
        <v>22</v>
      </c>
      <c r="I17" s="50" t="n">
        <v>1</v>
      </c>
      <c r="J17" s="34" t="n">
        <v>1800</v>
      </c>
      <c r="K17" s="33"/>
      <c r="L17" s="35"/>
      <c r="M17" s="36" t="n">
        <f aca="false">SUM(C17,I17)</f>
        <v>2</v>
      </c>
      <c r="N17" s="37" t="n">
        <f aca="false">SUM(D17,J17)</f>
        <v>7072020</v>
      </c>
      <c r="O17" s="39" t="s">
        <v>22</v>
      </c>
      <c r="P17" s="39"/>
      <c r="Q17" s="39"/>
      <c r="R17" s="40"/>
      <c r="S17" s="41"/>
      <c r="T17" s="42"/>
      <c r="U17" s="43" t="n">
        <f aca="false">SUM(Q17)</f>
        <v>0</v>
      </c>
      <c r="V17" s="95" t="n">
        <f aca="false">SUM(R17)</f>
        <v>0</v>
      </c>
      <c r="W17" s="36" t="n">
        <f aca="false">SUM(M17,Q17)</f>
        <v>2</v>
      </c>
      <c r="X17" s="45" t="n">
        <f aca="false">SUM(N17,R17)</f>
        <v>7072020</v>
      </c>
      <c r="Y17" s="49"/>
      <c r="Z17" s="43" t="n">
        <v>633</v>
      </c>
      <c r="AA17" s="41" t="n">
        <v>634</v>
      </c>
      <c r="AB17" s="41" t="s">
        <v>375</v>
      </c>
    </row>
    <row r="18" customFormat="false" ht="22.35" hidden="false" customHeight="false" outlineLevel="0" collapsed="false">
      <c r="A18" s="110" t="s">
        <v>377</v>
      </c>
      <c r="B18" s="110" t="s"/>
      <c r="C18" s="28" t="s">
        <v>22</v>
      </c>
      <c r="D18" s="29"/>
      <c r="E18" s="30"/>
      <c r="F18" s="31"/>
      <c r="G18" s="76" t="s">
        <v>378</v>
      </c>
      <c r="H18" s="33" t="s">
        <v>22</v>
      </c>
      <c r="I18" s="50" t="n">
        <v>1</v>
      </c>
      <c r="J18" s="34" t="n">
        <v>500</v>
      </c>
      <c r="K18" s="33"/>
      <c r="L18" s="35"/>
      <c r="M18" s="36" t="n">
        <f aca="false">SUM(C18,I18)</f>
        <v>1</v>
      </c>
      <c r="N18" s="37" t="n">
        <f aca="false">SUM(D18,J18)</f>
        <v>500</v>
      </c>
      <c r="O18" s="39" t="s">
        <v>22</v>
      </c>
      <c r="P18" s="39"/>
      <c r="Q18" s="39"/>
      <c r="R18" s="40"/>
      <c r="S18" s="41"/>
      <c r="T18" s="42"/>
      <c r="U18" s="43" t="n">
        <f aca="false">SUM(Q18)</f>
        <v>0</v>
      </c>
      <c r="V18" s="95" t="n">
        <f aca="false">SUM(R18)</f>
        <v>0</v>
      </c>
      <c r="W18" s="36" t="n">
        <f aca="false">SUM(M18,Q18)</f>
        <v>1</v>
      </c>
      <c r="X18" s="45" t="n">
        <f aca="false">SUM(N18,R18)</f>
        <v>500</v>
      </c>
      <c r="Y18" s="46"/>
      <c r="Z18" s="43" t="n">
        <v>640</v>
      </c>
      <c r="AA18" s="41"/>
      <c r="AB18" s="41" t="s">
        <v>377</v>
      </c>
    </row>
    <row r="19" customFormat="false" ht="22.35" hidden="false" customHeight="false" outlineLevel="0" collapsed="false">
      <c r="A19" s="110" t="s">
        <v>379</v>
      </c>
      <c r="B19" s="110" t="s"/>
      <c r="C19" s="28" t="s">
        <v>22</v>
      </c>
      <c r="D19" s="29"/>
      <c r="E19" s="30"/>
      <c r="F19" s="31"/>
      <c r="G19" s="77" t="s">
        <v>22</v>
      </c>
      <c r="H19" s="33"/>
      <c r="I19" s="50"/>
      <c r="J19" s="34"/>
      <c r="K19" s="33"/>
      <c r="L19" s="35"/>
      <c r="M19" s="36" t="n">
        <f aca="false">SUM(C19,I19)</f>
        <v>0</v>
      </c>
      <c r="N19" s="37" t="n">
        <f aca="false">SUM(D19,J19)</f>
        <v>0</v>
      </c>
      <c r="O19" s="39" t="s">
        <v>22</v>
      </c>
      <c r="P19" s="39"/>
      <c r="Q19" s="39"/>
      <c r="R19" s="40"/>
      <c r="S19" s="41"/>
      <c r="T19" s="42"/>
      <c r="U19" s="43" t="n">
        <f aca="false">SUM(Q19)</f>
        <v>0</v>
      </c>
      <c r="V19" s="95" t="n">
        <f aca="false">SUM(R19)</f>
        <v>0</v>
      </c>
      <c r="W19" s="36" t="n">
        <f aca="false">SUM(M19,Q19)</f>
        <v>0</v>
      </c>
      <c r="X19" s="45" t="n">
        <f aca="false">SUM(N19,R19)</f>
        <v>0</v>
      </c>
      <c r="Y19" s="46"/>
      <c r="Z19" s="43" t="n">
        <v>643</v>
      </c>
      <c r="AA19" s="41"/>
      <c r="AB19" s="41" t="s">
        <v>379</v>
      </c>
    </row>
    <row r="20" customFormat="false" ht="22.35" hidden="false" customHeight="false" outlineLevel="0" collapsed="false">
      <c r="A20" s="110" t="s">
        <v>380</v>
      </c>
      <c r="B20" s="110" t="s"/>
      <c r="C20" s="28" t="s">
        <v>22</v>
      </c>
      <c r="D20" s="29"/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0</v>
      </c>
      <c r="N20" s="37" t="n">
        <f aca="false">SUM(D20,J20)</f>
        <v>0</v>
      </c>
      <c r="O20" s="39" t="s">
        <v>22</v>
      </c>
      <c r="P20" s="39"/>
      <c r="Q20" s="39"/>
      <c r="R20" s="40"/>
      <c r="S20" s="41"/>
      <c r="T20" s="42"/>
      <c r="U20" s="43" t="n">
        <f aca="false">SUM(Q20)</f>
        <v>0</v>
      </c>
      <c r="V20" s="95" t="n">
        <f aca="false">SUM(R20)</f>
        <v>0</v>
      </c>
      <c r="W20" s="36" t="n">
        <f aca="false">SUM(M20,Q20)</f>
        <v>0</v>
      </c>
      <c r="X20" s="45" t="n">
        <f aca="false">SUM(N20,R20)</f>
        <v>0</v>
      </c>
      <c r="Y20" s="46"/>
      <c r="Z20" s="43" t="n">
        <v>652</v>
      </c>
      <c r="AA20" s="41"/>
      <c r="AB20" s="41" t="s">
        <v>380</v>
      </c>
    </row>
    <row r="21" customFormat="false" ht="24.75" hidden="false" customHeight="true" outlineLevel="0" collapsed="false">
      <c r="A21" s="110" t="s">
        <v>381</v>
      </c>
      <c r="B21" s="110" t="s"/>
      <c r="C21" s="28" t="s">
        <v>22</v>
      </c>
      <c r="D21" s="29"/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51" t="s">
        <v>22</v>
      </c>
      <c r="P21" s="39"/>
      <c r="Q21" s="39"/>
      <c r="R21" s="40"/>
      <c r="S21" s="41"/>
      <c r="T21" s="42"/>
      <c r="U21" s="43"/>
      <c r="V21" s="43"/>
      <c r="W21" s="36" t="n">
        <f aca="false">SUM(M21,Q21)</f>
        <v>0</v>
      </c>
      <c r="X21" s="45" t="n">
        <f aca="false">SUM(N21,R21)</f>
        <v>0</v>
      </c>
      <c r="Y21" s="46"/>
      <c r="Z21" s="43" t="n">
        <v>655</v>
      </c>
      <c r="AA21" s="41"/>
      <c r="AB21" s="41" t="s">
        <v>381</v>
      </c>
    </row>
    <row r="22" customFormat="false" ht="22.35" hidden="false" customHeight="false" outlineLevel="0" collapsed="false">
      <c r="A22" s="110" t="s">
        <v>382</v>
      </c>
      <c r="B22" s="110" t="s"/>
      <c r="C22" s="28" t="s">
        <v>22</v>
      </c>
      <c r="D22" s="29"/>
      <c r="E22" s="30"/>
      <c r="F22" s="31"/>
      <c r="G22" s="77" t="s">
        <v>22</v>
      </c>
      <c r="H22" s="33"/>
      <c r="I22" s="50"/>
      <c r="J22" s="34"/>
      <c r="K22" s="33"/>
      <c r="L22" s="35"/>
      <c r="M22" s="36" t="n">
        <f aca="false">SUM(C22,I22)</f>
        <v>0</v>
      </c>
      <c r="N22" s="37" t="n">
        <f aca="false">SUM(D22,J22)</f>
        <v>0</v>
      </c>
      <c r="O22" s="38" t="s">
        <v>22</v>
      </c>
      <c r="P22" s="39"/>
      <c r="Q22" s="39"/>
      <c r="R22" s="40"/>
      <c r="S22" s="41"/>
      <c r="T22" s="42"/>
      <c r="U22" s="43" t="n">
        <f aca="false">SUM(Q22)</f>
        <v>0</v>
      </c>
      <c r="V22" s="95" t="n">
        <f aca="false">SUM(R22)</f>
        <v>0</v>
      </c>
      <c r="W22" s="36" t="n">
        <f aca="false">SUM(M22,Q22)</f>
        <v>0</v>
      </c>
      <c r="X22" s="45" t="n">
        <f aca="false">SUM(N22,R22)</f>
        <v>0</v>
      </c>
      <c r="Y22" s="46"/>
      <c r="Z22" s="43" t="n">
        <v>663</v>
      </c>
      <c r="AA22" s="41"/>
      <c r="AB22" s="41" t="s">
        <v>382</v>
      </c>
    </row>
    <row r="23" customFormat="false" ht="22.35" hidden="false" customHeight="false" outlineLevel="0" collapsed="false">
      <c r="A23" s="110" t="s">
        <v>383</v>
      </c>
      <c r="B23" s="110" t="s"/>
      <c r="C23" s="80" t="s">
        <v>22</v>
      </c>
      <c r="D23" s="81"/>
      <c r="E23" s="82"/>
      <c r="F23" s="83"/>
      <c r="G23" s="113" t="s">
        <v>22</v>
      </c>
      <c r="H23" s="85"/>
      <c r="I23" s="85"/>
      <c r="J23" s="86"/>
      <c r="K23" s="87"/>
      <c r="L23" s="88"/>
      <c r="M23" s="36" t="n">
        <f aca="false">SUM(C23,I23)</f>
        <v>0</v>
      </c>
      <c r="N23" s="37" t="n">
        <f aca="false">SUM(D23,J23)</f>
        <v>0</v>
      </c>
      <c r="O23" s="89" t="s">
        <v>22</v>
      </c>
      <c r="P23" s="90"/>
      <c r="Q23" s="91"/>
      <c r="R23" s="92"/>
      <c r="S23" s="93"/>
      <c r="T23" s="94"/>
      <c r="U23" s="114"/>
      <c r="V23" s="115"/>
      <c r="W23" s="36" t="n">
        <f aca="false">SUM(M23,Q23)</f>
        <v>0</v>
      </c>
      <c r="X23" s="45" t="n">
        <f aca="false">SUM(N23,R23)</f>
        <v>0</v>
      </c>
      <c r="Y23" s="46"/>
      <c r="Z23" s="43" t="n">
        <v>667</v>
      </c>
      <c r="AA23" s="41"/>
      <c r="AB23" s="41" t="s">
        <v>383</v>
      </c>
    </row>
    <row r="24" customFormat="false" ht="22.35" hidden="false" customHeight="false" outlineLevel="0" collapsed="false">
      <c r="A24" s="110" t="s">
        <v>384</v>
      </c>
      <c r="B24" s="110" t="s"/>
      <c r="C24" s="80" t="s">
        <v>22</v>
      </c>
      <c r="D24" s="81"/>
      <c r="E24" s="82"/>
      <c r="F24" s="83"/>
      <c r="G24" s="113" t="s">
        <v>22</v>
      </c>
      <c r="H24" s="85"/>
      <c r="I24" s="85"/>
      <c r="J24" s="86"/>
      <c r="K24" s="87"/>
      <c r="L24" s="88"/>
      <c r="M24" s="36" t="n">
        <f aca="false">SUM(C24,I24)</f>
        <v>0</v>
      </c>
      <c r="N24" s="37" t="n">
        <f aca="false">SUM(D24,J24)</f>
        <v>0</v>
      </c>
      <c r="O24" s="89" t="s">
        <v>22</v>
      </c>
      <c r="P24" s="90"/>
      <c r="Q24" s="91"/>
      <c r="R24" s="92"/>
      <c r="S24" s="93"/>
      <c r="T24" s="94"/>
      <c r="U24" s="114"/>
      <c r="V24" s="115"/>
      <c r="W24" s="36" t="n">
        <f aca="false">SUM(M24,Q24)</f>
        <v>0</v>
      </c>
      <c r="X24" s="45" t="n">
        <f aca="false">SUM(N24,R24)</f>
        <v>0</v>
      </c>
      <c r="Y24" s="46"/>
      <c r="Z24" s="43" t="n">
        <v>672</v>
      </c>
      <c r="AA24" s="41"/>
      <c r="AB24" s="41" t="s">
        <v>384</v>
      </c>
    </row>
    <row r="25" customFormat="false" ht="19.7" hidden="false" customHeight="false" outlineLevel="0" collapsed="false">
      <c r="A25" s="52" t="s">
        <v>23</v>
      </c>
      <c r="B25" s="52" t="s"/>
      <c r="C25" s="53" t="n">
        <f aca="false">SUM(C6:C24)</f>
        <v>13</v>
      </c>
      <c r="D25" s="54" t="n">
        <f aca="false">SUM(D6:D24)</f>
        <v>10367480</v>
      </c>
      <c r="E25" s="55" t="n">
        <f aca="false">SUM(E6:E22)</f>
        <v>0</v>
      </c>
      <c r="F25" s="56" t="n">
        <f aca="false">SUM(F6:F22)</f>
        <v>0</v>
      </c>
      <c r="G25" s="57" t="s">
        <v>23</v>
      </c>
      <c r="H25" s="57"/>
      <c r="I25" s="58" t="n">
        <f aca="false">SUM(I6:I24)</f>
        <v>6</v>
      </c>
      <c r="J25" s="54" t="n">
        <f aca="false">SUM(J6:J24)</f>
        <v>5000</v>
      </c>
      <c r="K25" s="55" t="n">
        <f aca="false">SUM(K6:K22)</f>
        <v>0</v>
      </c>
      <c r="L25" s="56"/>
      <c r="M25" s="59" t="n">
        <f aca="false">SUM(M6:M24)</f>
        <v>19</v>
      </c>
      <c r="N25" s="60" t="n">
        <f aca="false">SUM(N6:N24)</f>
        <v>10372480</v>
      </c>
      <c r="O25" s="57" t="s">
        <v>23</v>
      </c>
      <c r="P25" s="57"/>
      <c r="Q25" s="61" t="n">
        <f aca="false">SUM(Q6:Q24)</f>
        <v>3</v>
      </c>
      <c r="R25" s="62" t="n">
        <f aca="false">SUM(R6:R24)</f>
        <v>3742.51</v>
      </c>
      <c r="S25" s="55" t="n">
        <f aca="false">SUM(S6:S22)</f>
        <v>0</v>
      </c>
      <c r="T25" s="56" t="n">
        <f aca="false">SUM(T6:T22)</f>
        <v>0</v>
      </c>
      <c r="U25" s="101" t="n">
        <f aca="false">SUM(U6:U22)</f>
        <v>3</v>
      </c>
      <c r="V25" s="102" t="n">
        <f aca="false">SUM(V6:V22)</f>
        <v>3742.51</v>
      </c>
      <c r="W25" s="59" t="n">
        <f aca="false">SUM(W6:W24)</f>
        <v>22</v>
      </c>
      <c r="X25" s="65" t="n">
        <f aca="false">SUM(X6:X24)</f>
        <v>10376222.51</v>
      </c>
      <c r="Y25" s="66"/>
      <c r="Z25" s="67"/>
      <c r="AA25" s="67"/>
      <c r="AB25" s="67"/>
    </row>
    <row r="26" customFormat="false" ht="15.75" hidden="false" customHeight="false" outlineLevel="0" collapsed="false">
      <c r="A26" s="2"/>
      <c r="B26" s="2"/>
      <c r="C26" s="2"/>
      <c r="D26" s="68"/>
      <c r="E26" s="2"/>
      <c r="F26" s="2"/>
      <c r="G26" s="2"/>
      <c r="H26" s="2"/>
      <c r="I26" s="3"/>
      <c r="J26" s="3"/>
      <c r="K26" s="2"/>
      <c r="L26" s="2"/>
      <c r="M26" s="2"/>
      <c r="N26" s="2"/>
      <c r="O26" s="2"/>
      <c r="P26" s="2"/>
      <c r="Q26" s="3"/>
      <c r="R26" s="3"/>
      <c r="S26" s="2"/>
      <c r="T26" s="2"/>
      <c r="U26" s="2"/>
      <c r="V26" s="2"/>
      <c r="W26" s="2"/>
      <c r="X26" s="2"/>
      <c r="Y26" s="69"/>
      <c r="Z26" s="2"/>
      <c r="AA26" s="2"/>
      <c r="AB26" s="2"/>
    </row>
    <row r="27" customFormat="false" ht="15.75" hidden="false" customHeight="false" outlineLevel="0" collapsed="false">
      <c r="A27" s="2"/>
      <c r="B27" s="2"/>
      <c r="C27" s="2"/>
      <c r="D27" s="3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5:H25"/>
    <mergeCell ref="O25:P2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outlinePr summaryBelow="0"/>
    <pageSetUpPr fitToPage="true"/>
  </sheetPr>
  <dimension ref="A1:AB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385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386</v>
      </c>
      <c r="B6" s="110" t="s"/>
      <c r="C6" s="28" t="s">
        <v>22</v>
      </c>
      <c r="D6" s="29"/>
      <c r="E6" s="30"/>
      <c r="F6" s="31"/>
      <c r="G6" s="77" t="s">
        <v>22</v>
      </c>
      <c r="H6" s="87"/>
      <c r="I6" s="50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0</v>
      </c>
      <c r="X6" s="45" t="n">
        <f aca="false">SUM(N6,R6)</f>
        <v>0</v>
      </c>
      <c r="Y6" s="46"/>
      <c r="Z6" s="43" t="n">
        <v>679</v>
      </c>
      <c r="AA6" s="41"/>
      <c r="AB6" s="41" t="s">
        <v>386</v>
      </c>
    </row>
    <row r="7" customFormat="false" ht="22.35" hidden="false" customHeight="false" outlineLevel="0" collapsed="false">
      <c r="A7" s="110" t="s">
        <v>387</v>
      </c>
      <c r="B7" s="110" t="s"/>
      <c r="C7" s="28" t="s">
        <v>22</v>
      </c>
      <c r="D7" s="29"/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0</v>
      </c>
      <c r="N7" s="37" t="n">
        <f aca="false">SUM(D7,J7)</f>
        <v>0</v>
      </c>
      <c r="O7" s="39" t="s">
        <v>22</v>
      </c>
      <c r="P7" s="39"/>
      <c r="Q7" s="39"/>
      <c r="R7" s="40"/>
      <c r="S7" s="41"/>
      <c r="T7" s="42"/>
      <c r="U7" s="43" t="n">
        <f aca="false">SUM(Q7)</f>
        <v>0</v>
      </c>
      <c r="V7" s="95" t="n">
        <f aca="false">SUM(R7)</f>
        <v>0</v>
      </c>
      <c r="W7" s="36" t="n">
        <f aca="false">SUM(M7,Q7)</f>
        <v>0</v>
      </c>
      <c r="X7" s="45" t="n">
        <f aca="false">SUM(N7,R7)</f>
        <v>0</v>
      </c>
      <c r="Y7" s="46"/>
      <c r="Z7" s="43" t="n">
        <v>685</v>
      </c>
      <c r="AA7" s="41"/>
      <c r="AB7" s="41" t="s">
        <v>387</v>
      </c>
    </row>
    <row r="8" customFormat="false" ht="22.35" hidden="false" customHeight="false" outlineLevel="0" collapsed="false">
      <c r="A8" s="110" t="s">
        <v>388</v>
      </c>
      <c r="B8" s="110" t="s"/>
      <c r="C8" s="28" t="n">
        <v>1</v>
      </c>
      <c r="D8" s="29" t="n">
        <v>12612860</v>
      </c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1</v>
      </c>
      <c r="N8" s="37" t="n">
        <f aca="false">SUM(D8,J8)</f>
        <v>12612860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1</v>
      </c>
      <c r="X8" s="45" t="n">
        <f aca="false">SUM(N8,R8)</f>
        <v>12612860</v>
      </c>
      <c r="Y8" s="105"/>
      <c r="Z8" s="43" t="n">
        <v>691</v>
      </c>
      <c r="AA8" s="41"/>
      <c r="AB8" s="41" t="s">
        <v>388</v>
      </c>
    </row>
    <row r="9" customFormat="false" ht="22.35" hidden="false" customHeight="false" outlineLevel="0" collapsed="false">
      <c r="A9" s="110" t="s">
        <v>389</v>
      </c>
      <c r="B9" s="110" t="s"/>
      <c r="C9" s="28" t="s">
        <v>22</v>
      </c>
      <c r="D9" s="29"/>
      <c r="E9" s="30"/>
      <c r="F9" s="31"/>
      <c r="G9" s="77" t="s">
        <v>22</v>
      </c>
      <c r="H9" s="33"/>
      <c r="I9" s="50"/>
      <c r="J9" s="34"/>
      <c r="K9" s="33"/>
      <c r="L9" s="35"/>
      <c r="M9" s="36" t="n">
        <f aca="false">SUM(C9,I9)</f>
        <v>0</v>
      </c>
      <c r="N9" s="37" t="n">
        <f aca="false">SUM(D9,J9)</f>
        <v>0</v>
      </c>
      <c r="O9" s="39" t="s">
        <v>22</v>
      </c>
      <c r="P9" s="39"/>
      <c r="Q9" s="39"/>
      <c r="R9" s="40"/>
      <c r="S9" s="41"/>
      <c r="T9" s="42"/>
      <c r="U9" s="43" t="n">
        <f aca="false">SUM(Q9)</f>
        <v>0</v>
      </c>
      <c r="V9" s="95" t="n">
        <f aca="false">SUM(R9)</f>
        <v>0</v>
      </c>
      <c r="W9" s="36" t="n">
        <f aca="false">SUM(M9,Q9)</f>
        <v>0</v>
      </c>
      <c r="X9" s="45" t="n">
        <f aca="false">SUM(N9,R9)</f>
        <v>0</v>
      </c>
      <c r="Y9" s="46"/>
      <c r="Z9" s="43" t="n">
        <v>698</v>
      </c>
      <c r="AA9" s="41"/>
      <c r="AB9" s="41" t="s">
        <v>389</v>
      </c>
    </row>
    <row r="10" customFormat="false" ht="22.35" hidden="false" customHeight="false" outlineLevel="0" collapsed="false">
      <c r="A10" s="110" t="s">
        <v>390</v>
      </c>
      <c r="B10" s="110" t="s"/>
      <c r="C10" s="28" t="s">
        <v>22</v>
      </c>
      <c r="D10" s="29"/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0</v>
      </c>
      <c r="X10" s="45" t="n">
        <f aca="false">SUM(N10,R10)</f>
        <v>0</v>
      </c>
      <c r="Y10" s="46"/>
      <c r="Z10" s="43" t="n">
        <v>704</v>
      </c>
      <c r="AA10" s="41"/>
      <c r="AB10" s="41" t="s">
        <v>390</v>
      </c>
    </row>
    <row r="11" customFormat="false" ht="22.35" hidden="false" customHeight="false" outlineLevel="0" collapsed="false">
      <c r="A11" s="110" t="s">
        <v>391</v>
      </c>
      <c r="B11" s="110" t="s"/>
      <c r="C11" s="28" t="s">
        <v>22</v>
      </c>
      <c r="D11" s="29"/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0</v>
      </c>
      <c r="N11" s="37" t="n">
        <f aca="false">SUM(D11,J11)</f>
        <v>0</v>
      </c>
      <c r="O11" s="39" t="s">
        <v>22</v>
      </c>
      <c r="P11" s="39"/>
      <c r="Q11" s="39"/>
      <c r="R11" s="40"/>
      <c r="S11" s="41"/>
      <c r="T11" s="42"/>
      <c r="U11" s="43" t="n">
        <f aca="false">SUM(Q11)</f>
        <v>0</v>
      </c>
      <c r="V11" s="95" t="n">
        <f aca="false">SUM(R11)</f>
        <v>0</v>
      </c>
      <c r="W11" s="36" t="n">
        <f aca="false">SUM(M11,Q11)</f>
        <v>0</v>
      </c>
      <c r="X11" s="45" t="n">
        <f aca="false">SUM(N11,R11)</f>
        <v>0</v>
      </c>
      <c r="Y11" s="46"/>
      <c r="Z11" s="43" t="n">
        <v>711</v>
      </c>
      <c r="AA11" s="41"/>
      <c r="AB11" s="41" t="s">
        <v>391</v>
      </c>
    </row>
    <row r="12" customFormat="false" ht="22.35" hidden="false" customHeight="false" outlineLevel="0" collapsed="false">
      <c r="A12" s="110" t="s">
        <v>392</v>
      </c>
      <c r="B12" s="110" t="s"/>
      <c r="C12" s="28" t="s">
        <v>22</v>
      </c>
      <c r="D12" s="29"/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9" t="s">
        <v>22</v>
      </c>
      <c r="P12" s="39"/>
      <c r="Q12" s="39"/>
      <c r="R12" s="40"/>
      <c r="S12" s="41"/>
      <c r="T12" s="42"/>
      <c r="U12" s="43" t="n">
        <f aca="false">SUM(Q12)</f>
        <v>0</v>
      </c>
      <c r="V12" s="95" t="n">
        <f aca="false">SUM(R12)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 t="n">
        <v>717</v>
      </c>
      <c r="AA12" s="41"/>
      <c r="AB12" s="41" t="s">
        <v>392</v>
      </c>
    </row>
    <row r="13" customFormat="false" ht="22.35" hidden="false" customHeight="false" outlineLevel="0" collapsed="false">
      <c r="A13" s="110" t="s">
        <v>393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39" t="s">
        <v>22</v>
      </c>
      <c r="P13" s="39"/>
      <c r="Q13" s="39"/>
      <c r="R13" s="40"/>
      <c r="S13" s="41"/>
      <c r="T13" s="42"/>
      <c r="U13" s="43" t="n">
        <f aca="false">SUM(Q13)</f>
        <v>0</v>
      </c>
      <c r="V13" s="95" t="n">
        <f aca="false">SUM(R13)</f>
        <v>0</v>
      </c>
      <c r="W13" s="36" t="n">
        <f aca="false">SUM(M13,Q13)</f>
        <v>0</v>
      </c>
      <c r="X13" s="45" t="n">
        <f aca="false">SUM(N13,R13)</f>
        <v>0</v>
      </c>
      <c r="Y13" s="46"/>
      <c r="Z13" s="43" t="n">
        <v>725</v>
      </c>
      <c r="AA13" s="41"/>
      <c r="AB13" s="41" t="s">
        <v>393</v>
      </c>
    </row>
    <row r="14" customFormat="false" ht="22.35" hidden="false" customHeight="false" outlineLevel="0" collapsed="false">
      <c r="A14" s="110" t="s">
        <v>394</v>
      </c>
      <c r="B14" s="110" t="s"/>
      <c r="C14" s="28" t="s">
        <v>22</v>
      </c>
      <c r="D14" s="29"/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0</v>
      </c>
      <c r="N14" s="37" t="n">
        <f aca="false">SUM(D14,J14)</f>
        <v>0</v>
      </c>
      <c r="O14" s="39" t="s">
        <v>22</v>
      </c>
      <c r="P14" s="39"/>
      <c r="Q14" s="39"/>
      <c r="R14" s="40"/>
      <c r="S14" s="41"/>
      <c r="T14" s="42"/>
      <c r="U14" s="43" t="n">
        <f aca="false">SUM(Q14)</f>
        <v>0</v>
      </c>
      <c r="V14" s="95" t="n">
        <f aca="false">SUM(R14)</f>
        <v>0</v>
      </c>
      <c r="W14" s="36" t="n">
        <f aca="false">SUM(M14,Q14)</f>
        <v>0</v>
      </c>
      <c r="X14" s="45" t="n">
        <f aca="false">SUM(N14,R14)</f>
        <v>0</v>
      </c>
      <c r="Y14" s="46"/>
      <c r="Z14" s="43" t="n">
        <v>728</v>
      </c>
      <c r="AA14" s="41"/>
      <c r="AB14" s="41" t="s">
        <v>394</v>
      </c>
    </row>
    <row r="15" customFormat="false" ht="22.35" hidden="false" customHeight="false" outlineLevel="0" collapsed="false">
      <c r="A15" s="110" t="s">
        <v>395</v>
      </c>
      <c r="B15" s="110" t="s"/>
      <c r="C15" s="28" t="s">
        <v>22</v>
      </c>
      <c r="D15" s="29"/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0</v>
      </c>
      <c r="N15" s="37" t="n">
        <f aca="false">SUM(D15,J15)</f>
        <v>0</v>
      </c>
      <c r="O15" s="73" t="s">
        <v>396</v>
      </c>
      <c r="P15" s="39" t="s">
        <v>22</v>
      </c>
      <c r="Q15" s="39" t="n">
        <v>1</v>
      </c>
      <c r="R15" s="40" t="n">
        <v>1000</v>
      </c>
      <c r="S15" s="41"/>
      <c r="T15" s="42"/>
      <c r="U15" s="43" t="n">
        <f aca="false">SUM(Q15)</f>
        <v>1</v>
      </c>
      <c r="V15" s="95" t="n">
        <f aca="false">SUM(R15)</f>
        <v>1000</v>
      </c>
      <c r="W15" s="36" t="n">
        <f aca="false">SUM(M15,Q15)</f>
        <v>1</v>
      </c>
      <c r="X15" s="45" t="n">
        <f aca="false">SUM(N15,R15)</f>
        <v>1000</v>
      </c>
      <c r="Y15" s="46"/>
      <c r="Z15" s="43" t="n">
        <v>734</v>
      </c>
      <c r="AA15" s="41" t="n">
        <v>735</v>
      </c>
      <c r="AB15" s="41" t="s">
        <v>395</v>
      </c>
    </row>
    <row r="16" customFormat="false" ht="22.35" hidden="false" customHeight="false" outlineLevel="0" collapsed="false">
      <c r="A16" s="110" t="s">
        <v>397</v>
      </c>
      <c r="B16" s="110" t="s"/>
      <c r="C16" s="28" t="s">
        <v>22</v>
      </c>
      <c r="D16" s="29"/>
      <c r="E16" s="30"/>
      <c r="F16" s="31"/>
      <c r="G16" s="33" t="s">
        <v>22</v>
      </c>
      <c r="H16" s="33"/>
      <c r="I16" s="50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0</v>
      </c>
      <c r="X16" s="45" t="n">
        <f aca="false">SUM(N16,R16)</f>
        <v>0</v>
      </c>
      <c r="Y16" s="49"/>
      <c r="Z16" s="43" t="n">
        <v>742</v>
      </c>
      <c r="AA16" s="41"/>
      <c r="AB16" s="41" t="s">
        <v>397</v>
      </c>
    </row>
    <row r="17" customFormat="false" ht="22.35" hidden="false" customHeight="false" outlineLevel="0" collapsed="false">
      <c r="A17" s="110" t="s">
        <v>398</v>
      </c>
      <c r="B17" s="110" t="s"/>
      <c r="C17" s="28" t="s">
        <v>22</v>
      </c>
      <c r="D17" s="29"/>
      <c r="E17" s="30"/>
      <c r="F17" s="31"/>
      <c r="G17" s="77" t="s">
        <v>22</v>
      </c>
      <c r="H17" s="33"/>
      <c r="I17" s="50"/>
      <c r="J17" s="34"/>
      <c r="K17" s="33"/>
      <c r="L17" s="35"/>
      <c r="M17" s="36" t="n">
        <f aca="false">SUM(C17,I17)</f>
        <v>0</v>
      </c>
      <c r="N17" s="37" t="n">
        <f aca="false">SUM(D17,J17)</f>
        <v>0</v>
      </c>
      <c r="O17" s="73" t="s">
        <v>399</v>
      </c>
      <c r="P17" s="39" t="s">
        <v>22</v>
      </c>
      <c r="Q17" s="39" t="n">
        <v>1</v>
      </c>
      <c r="R17" s="40" t="n">
        <v>1000</v>
      </c>
      <c r="S17" s="41"/>
      <c r="T17" s="42"/>
      <c r="U17" s="43" t="n">
        <f aca="false">SUM(Q17)</f>
        <v>1</v>
      </c>
      <c r="V17" s="95" t="n">
        <f aca="false">SUM(R17)</f>
        <v>1000</v>
      </c>
      <c r="W17" s="36" t="n">
        <f aca="false">SUM(M17,Q17)</f>
        <v>1</v>
      </c>
      <c r="X17" s="45" t="n">
        <f aca="false">SUM(N17,R17)</f>
        <v>1000</v>
      </c>
      <c r="Y17" s="49"/>
      <c r="Z17" s="43" t="n">
        <v>747</v>
      </c>
      <c r="AA17" s="41" t="n">
        <v>749</v>
      </c>
      <c r="AB17" s="41" t="s">
        <v>398</v>
      </c>
    </row>
    <row r="18" customFormat="false" ht="22.35" hidden="false" customHeight="false" outlineLevel="0" collapsed="false">
      <c r="A18" s="110" t="s">
        <v>400</v>
      </c>
      <c r="B18" s="110" t="s"/>
      <c r="C18" s="28" t="s">
        <v>22</v>
      </c>
      <c r="D18" s="29"/>
      <c r="E18" s="30"/>
      <c r="F18" s="31"/>
      <c r="G18" s="77" t="s">
        <v>22</v>
      </c>
      <c r="H18" s="33"/>
      <c r="I18" s="50"/>
      <c r="J18" s="34"/>
      <c r="K18" s="33"/>
      <c r="L18" s="35"/>
      <c r="M18" s="36" t="n">
        <f aca="false">SUM(C18,I18)</f>
        <v>0</v>
      </c>
      <c r="N18" s="37" t="n">
        <f aca="false">SUM(D18,J18)</f>
        <v>0</v>
      </c>
      <c r="O18" s="39" t="s">
        <v>22</v>
      </c>
      <c r="P18" s="39"/>
      <c r="Q18" s="39"/>
      <c r="R18" s="40"/>
      <c r="S18" s="41"/>
      <c r="T18" s="42"/>
      <c r="U18" s="43" t="n">
        <f aca="false">SUM(Q18)</f>
        <v>0</v>
      </c>
      <c r="V18" s="95" t="n">
        <f aca="false">SUM(R18)</f>
        <v>0</v>
      </c>
      <c r="W18" s="36" t="n">
        <f aca="false">SUM(M18,Q18)</f>
        <v>0</v>
      </c>
      <c r="X18" s="45" t="n">
        <f aca="false">SUM(N18,R18)</f>
        <v>0</v>
      </c>
      <c r="Y18" s="46"/>
      <c r="Z18" s="43" t="n">
        <v>756</v>
      </c>
      <c r="AA18" s="41"/>
      <c r="AB18" s="41" t="s">
        <v>400</v>
      </c>
    </row>
    <row r="19" customFormat="false" ht="22.35" hidden="false" customHeight="false" outlineLevel="0" collapsed="false">
      <c r="A19" s="110" t="s">
        <v>401</v>
      </c>
      <c r="B19" s="110" t="s"/>
      <c r="C19" s="28" t="s">
        <v>22</v>
      </c>
      <c r="D19" s="29"/>
      <c r="E19" s="30"/>
      <c r="F19" s="31"/>
      <c r="G19" s="77" t="s">
        <v>22</v>
      </c>
      <c r="H19" s="33"/>
      <c r="I19" s="50"/>
      <c r="J19" s="34"/>
      <c r="K19" s="33"/>
      <c r="L19" s="35"/>
      <c r="M19" s="36" t="n">
        <f aca="false">SUM(C19,I19)</f>
        <v>0</v>
      </c>
      <c r="N19" s="37" t="n">
        <f aca="false">SUM(D19,J19)</f>
        <v>0</v>
      </c>
      <c r="O19" s="39" t="s">
        <v>22</v>
      </c>
      <c r="P19" s="39"/>
      <c r="Q19" s="39"/>
      <c r="R19" s="40"/>
      <c r="S19" s="41"/>
      <c r="T19" s="42"/>
      <c r="U19" s="43" t="n">
        <f aca="false">SUM(Q19)</f>
        <v>0</v>
      </c>
      <c r="V19" s="95" t="n">
        <f aca="false">SUM(R19)</f>
        <v>0</v>
      </c>
      <c r="W19" s="36" t="n">
        <f aca="false">SUM(M19,Q19)</f>
        <v>0</v>
      </c>
      <c r="X19" s="45" t="n">
        <f aca="false">SUM(N19,R19)</f>
        <v>0</v>
      </c>
      <c r="Y19" s="46"/>
      <c r="Z19" s="43" t="n">
        <v>761</v>
      </c>
      <c r="AA19" s="41"/>
      <c r="AB19" s="41" t="s">
        <v>401</v>
      </c>
    </row>
    <row r="20" customFormat="false" ht="22.35" hidden="false" customHeight="false" outlineLevel="0" collapsed="false">
      <c r="A20" s="110" t="s">
        <v>402</v>
      </c>
      <c r="B20" s="110" t="s"/>
      <c r="C20" s="28" t="s">
        <v>22</v>
      </c>
      <c r="D20" s="29"/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0</v>
      </c>
      <c r="N20" s="37" t="n">
        <f aca="false">SUM(D20,J20)</f>
        <v>0</v>
      </c>
      <c r="O20" s="39" t="s">
        <v>22</v>
      </c>
      <c r="P20" s="39"/>
      <c r="Q20" s="39"/>
      <c r="R20" s="40"/>
      <c r="S20" s="41"/>
      <c r="T20" s="42"/>
      <c r="U20" s="43" t="n">
        <f aca="false">SUM(Q20)</f>
        <v>0</v>
      </c>
      <c r="V20" s="95" t="n">
        <f aca="false">SUM(R20)</f>
        <v>0</v>
      </c>
      <c r="W20" s="36" t="n">
        <f aca="false">SUM(M20,Q20)</f>
        <v>0</v>
      </c>
      <c r="X20" s="45" t="n">
        <f aca="false">SUM(N20,R20)</f>
        <v>0</v>
      </c>
      <c r="Y20" s="46"/>
      <c r="Z20" s="43" t="n">
        <v>773</v>
      </c>
      <c r="AA20" s="41"/>
      <c r="AB20" s="41" t="s">
        <v>402</v>
      </c>
    </row>
    <row r="21" customFormat="false" ht="22.35" hidden="false" customHeight="false" outlineLevel="0" collapsed="false">
      <c r="A21" s="110" t="s">
        <v>403</v>
      </c>
      <c r="B21" s="110" t="s"/>
      <c r="C21" s="28" t="s">
        <v>22</v>
      </c>
      <c r="D21" s="29"/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38" t="s">
        <v>22</v>
      </c>
      <c r="P21" s="39"/>
      <c r="Q21" s="39"/>
      <c r="R21" s="40"/>
      <c r="S21" s="41"/>
      <c r="T21" s="42"/>
      <c r="U21" s="43" t="n">
        <f aca="false">SUM(Q21)</f>
        <v>0</v>
      </c>
      <c r="V21" s="95" t="n">
        <f aca="false">SUM(R21)</f>
        <v>0</v>
      </c>
      <c r="W21" s="36" t="n">
        <f aca="false">SUM(M21,Q21)</f>
        <v>0</v>
      </c>
      <c r="X21" s="45" t="n">
        <f aca="false">SUM(N21,R21)</f>
        <v>0</v>
      </c>
      <c r="Y21" s="46"/>
      <c r="Z21" s="43" t="n">
        <v>777</v>
      </c>
      <c r="AA21" s="41"/>
      <c r="AB21" s="41" t="s">
        <v>403</v>
      </c>
    </row>
    <row r="22" customFormat="false" ht="22.35" hidden="false" customHeight="false" outlineLevel="0" collapsed="false">
      <c r="A22" s="110" t="s">
        <v>404</v>
      </c>
      <c r="B22" s="110" t="s"/>
      <c r="C22" s="80" t="s">
        <v>22</v>
      </c>
      <c r="D22" s="81"/>
      <c r="E22" s="82"/>
      <c r="F22" s="83"/>
      <c r="G22" s="113" t="s">
        <v>22</v>
      </c>
      <c r="H22" s="85"/>
      <c r="I22" s="85"/>
      <c r="J22" s="86"/>
      <c r="K22" s="87"/>
      <c r="L22" s="88"/>
      <c r="M22" s="36" t="n">
        <f aca="false">SUM(C22,I22)</f>
        <v>0</v>
      </c>
      <c r="N22" s="37" t="n">
        <f aca="false">SUM(D22,J22)</f>
        <v>0</v>
      </c>
      <c r="O22" s="107" t="s">
        <v>405</v>
      </c>
      <c r="P22" s="90" t="s">
        <v>22</v>
      </c>
      <c r="Q22" s="91" t="n">
        <v>1</v>
      </c>
      <c r="R22" s="92" t="n">
        <v>5000</v>
      </c>
      <c r="S22" s="93"/>
      <c r="T22" s="94"/>
      <c r="U22" s="114"/>
      <c r="V22" s="115"/>
      <c r="W22" s="36" t="n">
        <f aca="false">SUM(M22,Q22)</f>
        <v>1</v>
      </c>
      <c r="X22" s="45" t="n">
        <f aca="false">SUM(N22,R22)</f>
        <v>5000</v>
      </c>
      <c r="Y22" s="46"/>
      <c r="Z22" s="43" t="n">
        <v>783</v>
      </c>
      <c r="AA22" s="41" t="n">
        <v>784</v>
      </c>
      <c r="AB22" s="41" t="s">
        <v>404</v>
      </c>
    </row>
    <row r="23" customFormat="false" ht="22.35" hidden="false" customHeight="false" outlineLevel="0" collapsed="false">
      <c r="A23" s="110" t="s">
        <v>406</v>
      </c>
      <c r="B23" s="110" t="s"/>
      <c r="C23" s="80" t="s">
        <v>22</v>
      </c>
      <c r="D23" s="81"/>
      <c r="E23" s="82"/>
      <c r="F23" s="83"/>
      <c r="G23" s="113" t="s">
        <v>22</v>
      </c>
      <c r="H23" s="85"/>
      <c r="I23" s="85"/>
      <c r="J23" s="86"/>
      <c r="K23" s="87"/>
      <c r="L23" s="88"/>
      <c r="M23" s="36" t="n">
        <f aca="false">SUM(C23,I23)</f>
        <v>0</v>
      </c>
      <c r="N23" s="37" t="n">
        <f aca="false">SUM(D23,J23)</f>
        <v>0</v>
      </c>
      <c r="O23" s="89" t="s">
        <v>22</v>
      </c>
      <c r="P23" s="90"/>
      <c r="Q23" s="91"/>
      <c r="R23" s="92"/>
      <c r="S23" s="93"/>
      <c r="T23" s="94"/>
      <c r="U23" s="114"/>
      <c r="V23" s="115"/>
      <c r="W23" s="36" t="n">
        <f aca="false">SUM(M23,Q23)</f>
        <v>0</v>
      </c>
      <c r="X23" s="45" t="n">
        <f aca="false">SUM(N23,R23)</f>
        <v>0</v>
      </c>
      <c r="Y23" s="46"/>
      <c r="Z23" s="43" t="n">
        <v>791</v>
      </c>
      <c r="AA23" s="41"/>
      <c r="AB23" s="41" t="s">
        <v>406</v>
      </c>
    </row>
    <row r="24" customFormat="false" ht="22.35" hidden="false" customHeight="false" outlineLevel="0" collapsed="false">
      <c r="A24" s="110" t="s">
        <v>407</v>
      </c>
      <c r="B24" s="110" t="s"/>
      <c r="C24" s="80" t="s">
        <v>22</v>
      </c>
      <c r="D24" s="81"/>
      <c r="E24" s="82"/>
      <c r="F24" s="83"/>
      <c r="G24" s="113" t="s">
        <v>22</v>
      </c>
      <c r="H24" s="85"/>
      <c r="I24" s="85"/>
      <c r="J24" s="86"/>
      <c r="K24" s="87"/>
      <c r="L24" s="88"/>
      <c r="M24" s="36" t="n">
        <f aca="false">SUM(C24,I24)</f>
        <v>0</v>
      </c>
      <c r="N24" s="37" t="n">
        <f aca="false">SUM(D24,J24)</f>
        <v>0</v>
      </c>
      <c r="O24" s="107" t="s">
        <v>408</v>
      </c>
      <c r="P24" s="90" t="s">
        <v>22</v>
      </c>
      <c r="Q24" s="91" t="n">
        <v>1</v>
      </c>
      <c r="R24" s="92" t="n">
        <v>4000</v>
      </c>
      <c r="S24" s="93"/>
      <c r="T24" s="94"/>
      <c r="U24" s="114"/>
      <c r="V24" s="115"/>
      <c r="W24" s="36" t="n">
        <f aca="false">SUM(M24,Q24)</f>
        <v>1</v>
      </c>
      <c r="X24" s="45" t="n">
        <f aca="false">SUM(N24,R24)</f>
        <v>4000</v>
      </c>
      <c r="Y24" s="46"/>
      <c r="Z24" s="43" t="n">
        <v>803</v>
      </c>
      <c r="AA24" s="41"/>
      <c r="AB24" s="41" t="s">
        <v>407</v>
      </c>
    </row>
    <row r="25" customFormat="false" ht="22.35" hidden="false" customHeight="false" outlineLevel="0" collapsed="false">
      <c r="A25" s="110" t="s">
        <v>409</v>
      </c>
      <c r="B25" s="110" t="s"/>
      <c r="C25" s="80" t="s">
        <v>22</v>
      </c>
      <c r="D25" s="81"/>
      <c r="E25" s="82"/>
      <c r="F25" s="83"/>
      <c r="G25" s="113" t="s">
        <v>22</v>
      </c>
      <c r="H25" s="85"/>
      <c r="I25" s="85"/>
      <c r="J25" s="86"/>
      <c r="K25" s="87"/>
      <c r="L25" s="88"/>
      <c r="M25" s="36" t="n">
        <f aca="false">SUM(C25,I25)</f>
        <v>0</v>
      </c>
      <c r="N25" s="37" t="n">
        <f aca="false">SUM(D25,J25)</f>
        <v>0</v>
      </c>
      <c r="O25" s="107" t="s">
        <v>410</v>
      </c>
      <c r="P25" s="90" t="s">
        <v>22</v>
      </c>
      <c r="Q25" s="91" t="n">
        <v>1</v>
      </c>
      <c r="R25" s="92" t="n">
        <v>5400</v>
      </c>
      <c r="S25" s="93"/>
      <c r="T25" s="94"/>
      <c r="U25" s="114"/>
      <c r="V25" s="115"/>
      <c r="W25" s="36" t="n">
        <f aca="false">SUM(M25,Q25)</f>
        <v>1</v>
      </c>
      <c r="X25" s="45" t="n">
        <f aca="false">SUM(N25,R25)</f>
        <v>5400</v>
      </c>
      <c r="Y25" s="46"/>
      <c r="Z25" s="43" t="n">
        <v>807</v>
      </c>
      <c r="AA25" s="41" t="n">
        <v>808</v>
      </c>
      <c r="AB25" s="41" t="s">
        <v>409</v>
      </c>
    </row>
    <row r="26" customFormat="false" ht="19.7" hidden="false" customHeight="false" outlineLevel="0" collapsed="false">
      <c r="A26" s="52" t="s">
        <v>23</v>
      </c>
      <c r="B26" s="52" t="s"/>
      <c r="C26" s="53" t="n">
        <f aca="false">SUM(C6:C25)</f>
        <v>1</v>
      </c>
      <c r="D26" s="54" t="n">
        <f aca="false">SUM(D6:D25)</f>
        <v>12612860</v>
      </c>
      <c r="E26" s="55" t="n">
        <f aca="false">SUM(E6:E21)</f>
        <v>0</v>
      </c>
      <c r="F26" s="56" t="n">
        <f aca="false">SUM(F6:F21)</f>
        <v>0</v>
      </c>
      <c r="G26" s="57" t="s">
        <v>23</v>
      </c>
      <c r="H26" s="57"/>
      <c r="I26" s="58" t="n">
        <f aca="false">SUM(I6:I25)</f>
        <v>0</v>
      </c>
      <c r="J26" s="54" t="n">
        <f aca="false">SUM(J6:J25)</f>
        <v>0</v>
      </c>
      <c r="K26" s="55" t="n">
        <f aca="false">SUM(K6:K21)</f>
        <v>0</v>
      </c>
      <c r="L26" s="56"/>
      <c r="M26" s="59" t="n">
        <f aca="false">SUM(M6:M25)</f>
        <v>1</v>
      </c>
      <c r="N26" s="60" t="n">
        <f aca="false">SUM(N6:N25)</f>
        <v>12612860</v>
      </c>
      <c r="O26" s="57" t="s">
        <v>23</v>
      </c>
      <c r="P26" s="57"/>
      <c r="Q26" s="61" t="n">
        <f aca="false">SUM(Q6:Q25)</f>
        <v>5</v>
      </c>
      <c r="R26" s="62" t="n">
        <f aca="false">SUM(R6:R25)</f>
        <v>16400</v>
      </c>
      <c r="S26" s="55" t="n">
        <f aca="false">SUM(S6:S21)</f>
        <v>0</v>
      </c>
      <c r="T26" s="56" t="n">
        <f aca="false">SUM(T6:T21)</f>
        <v>0</v>
      </c>
      <c r="U26" s="101" t="n">
        <f aca="false">SUM(U6:U21)</f>
        <v>2</v>
      </c>
      <c r="V26" s="102" t="n">
        <f aca="false">SUM(V6:V21)</f>
        <v>2000</v>
      </c>
      <c r="W26" s="59" t="n">
        <f aca="false">SUM(W6:W25)</f>
        <v>6</v>
      </c>
      <c r="X26" s="65" t="n">
        <f aca="false">SUM(X6:X25)</f>
        <v>12629260</v>
      </c>
      <c r="Y26" s="66"/>
      <c r="Z26" s="67"/>
      <c r="AA26" s="67"/>
      <c r="AB26" s="67"/>
    </row>
    <row r="27" customFormat="false" ht="15.75" hidden="false" customHeight="false" outlineLevel="0" collapsed="false">
      <c r="A27" s="2"/>
      <c r="B27" s="2"/>
      <c r="C27" s="2"/>
      <c r="D27" s="68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outlinePr summaryBelow="0"/>
    <pageSetUpPr fitToPage="true"/>
  </sheetPr>
  <dimension ref="A1:AB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7" min="7" style="0" width="13.88"/>
    <col collapsed="false" customWidth="true" hidden="false" outlineLevel="0" max="8" min="8" style="0" width="15.75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411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412</v>
      </c>
      <c r="B6" s="110" t="s"/>
      <c r="C6" s="28" t="s">
        <v>22</v>
      </c>
      <c r="D6" s="29"/>
      <c r="E6" s="30"/>
      <c r="F6" s="31"/>
      <c r="G6" s="76" t="s">
        <v>413</v>
      </c>
      <c r="H6" s="87" t="s">
        <v>22</v>
      </c>
      <c r="I6" s="50" t="n">
        <v>1</v>
      </c>
      <c r="J6" s="34" t="n">
        <v>1800</v>
      </c>
      <c r="K6" s="33"/>
      <c r="L6" s="35"/>
      <c r="M6" s="36" t="n">
        <f aca="false">SUM(C6,I6)</f>
        <v>1</v>
      </c>
      <c r="N6" s="37" t="n">
        <f aca="false">SUM(D6,J6)</f>
        <v>1800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1</v>
      </c>
      <c r="X6" s="45" t="n">
        <f aca="false">SUM(N6,R6)</f>
        <v>1800</v>
      </c>
      <c r="Y6" s="46"/>
      <c r="Z6" s="43" t="n">
        <v>816</v>
      </c>
      <c r="AA6" s="41"/>
      <c r="AB6" s="41" t="s">
        <v>412</v>
      </c>
    </row>
    <row r="7" customFormat="false" ht="22.35" hidden="false" customHeight="false" outlineLevel="0" collapsed="false">
      <c r="A7" s="110" t="s">
        <v>414</v>
      </c>
      <c r="B7" s="110" t="s"/>
      <c r="C7" s="28" t="s">
        <v>22</v>
      </c>
      <c r="D7" s="29"/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0</v>
      </c>
      <c r="N7" s="37" t="n">
        <f aca="false">SUM(D7,J7)</f>
        <v>0</v>
      </c>
      <c r="O7" s="39" t="s">
        <v>22</v>
      </c>
      <c r="P7" s="39"/>
      <c r="Q7" s="39"/>
      <c r="R7" s="40"/>
      <c r="S7" s="41"/>
      <c r="T7" s="42"/>
      <c r="U7" s="43" t="n">
        <f aca="false">SUM(Q7)</f>
        <v>0</v>
      </c>
      <c r="V7" s="95" t="n">
        <f aca="false">SUM(R7)</f>
        <v>0</v>
      </c>
      <c r="W7" s="36" t="n">
        <f aca="false">SUM(M7,Q7)</f>
        <v>0</v>
      </c>
      <c r="X7" s="45" t="n">
        <f aca="false">SUM(N7,R7)</f>
        <v>0</v>
      </c>
      <c r="Y7" s="46"/>
      <c r="Z7" s="43" t="n">
        <v>820</v>
      </c>
      <c r="AA7" s="41"/>
      <c r="AB7" s="41" t="s">
        <v>414</v>
      </c>
    </row>
    <row r="8" customFormat="false" ht="22.35" hidden="false" customHeight="false" outlineLevel="0" collapsed="false">
      <c r="A8" s="110" t="s">
        <v>415</v>
      </c>
      <c r="B8" s="110" t="s"/>
      <c r="C8" s="28" t="s">
        <v>22</v>
      </c>
      <c r="D8" s="29"/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0</v>
      </c>
      <c r="N8" s="37" t="n">
        <f aca="false">SUM(D8,J8)</f>
        <v>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0</v>
      </c>
      <c r="X8" s="45" t="n">
        <f aca="false">SUM(N8,R8)</f>
        <v>0</v>
      </c>
      <c r="Y8" s="105"/>
      <c r="Z8" s="43" t="n">
        <v>826</v>
      </c>
      <c r="AA8" s="41"/>
      <c r="AB8" s="41" t="s">
        <v>415</v>
      </c>
    </row>
    <row r="9" customFormat="false" ht="22.35" hidden="false" customHeight="false" outlineLevel="0" collapsed="false">
      <c r="A9" s="110" t="s">
        <v>416</v>
      </c>
      <c r="B9" s="110" t="s"/>
      <c r="C9" s="28" t="s">
        <v>22</v>
      </c>
      <c r="D9" s="29"/>
      <c r="E9" s="30"/>
      <c r="F9" s="31"/>
      <c r="G9" s="77" t="s">
        <v>22</v>
      </c>
      <c r="H9" s="33"/>
      <c r="I9" s="50"/>
      <c r="J9" s="34"/>
      <c r="K9" s="33"/>
      <c r="L9" s="35"/>
      <c r="M9" s="36" t="n">
        <f aca="false">SUM(C9,I9)</f>
        <v>0</v>
      </c>
      <c r="N9" s="37" t="n">
        <f aca="false">SUM(D9,J9)</f>
        <v>0</v>
      </c>
      <c r="O9" s="39" t="s">
        <v>22</v>
      </c>
      <c r="P9" s="39"/>
      <c r="Q9" s="39"/>
      <c r="R9" s="40"/>
      <c r="S9" s="41"/>
      <c r="T9" s="42"/>
      <c r="U9" s="43" t="n">
        <f aca="false">SUM(Q9)</f>
        <v>0</v>
      </c>
      <c r="V9" s="95" t="n">
        <f aca="false">SUM(R9)</f>
        <v>0</v>
      </c>
      <c r="W9" s="36" t="n">
        <f aca="false">SUM(M9,Q9)</f>
        <v>0</v>
      </c>
      <c r="X9" s="45" t="n">
        <f aca="false">SUM(N9,R9)</f>
        <v>0</v>
      </c>
      <c r="Y9" s="46"/>
      <c r="Z9" s="43" t="n">
        <v>832</v>
      </c>
      <c r="AA9" s="41"/>
      <c r="AB9" s="41" t="s">
        <v>416</v>
      </c>
    </row>
    <row r="10" customFormat="false" ht="22.35" hidden="false" customHeight="false" outlineLevel="0" collapsed="false">
      <c r="A10" s="110" t="s">
        <v>417</v>
      </c>
      <c r="B10" s="110" t="s"/>
      <c r="C10" s="28" t="s">
        <v>22</v>
      </c>
      <c r="D10" s="29"/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0</v>
      </c>
      <c r="X10" s="45" t="n">
        <f aca="false">SUM(N10,R10)</f>
        <v>0</v>
      </c>
      <c r="Y10" s="46"/>
      <c r="Z10" s="43" t="n">
        <v>840</v>
      </c>
      <c r="AA10" s="41"/>
      <c r="AB10" s="41" t="s">
        <v>417</v>
      </c>
    </row>
    <row r="11" customFormat="false" ht="22.35" hidden="false" customHeight="false" outlineLevel="0" collapsed="false">
      <c r="A11" s="110" t="s">
        <v>418</v>
      </c>
      <c r="B11" s="110" t="s"/>
      <c r="C11" s="28" t="s">
        <v>22</v>
      </c>
      <c r="D11" s="29"/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0</v>
      </c>
      <c r="N11" s="37" t="n">
        <f aca="false">SUM(D11,J11)</f>
        <v>0</v>
      </c>
      <c r="O11" s="39" t="s">
        <v>22</v>
      </c>
      <c r="P11" s="39"/>
      <c r="Q11" s="39"/>
      <c r="R11" s="40"/>
      <c r="S11" s="41"/>
      <c r="T11" s="42"/>
      <c r="U11" s="43" t="n">
        <f aca="false">SUM(Q11)</f>
        <v>0</v>
      </c>
      <c r="V11" s="95" t="n">
        <f aca="false">SUM(R11)</f>
        <v>0</v>
      </c>
      <c r="W11" s="36" t="n">
        <f aca="false">SUM(M11,Q11)</f>
        <v>0</v>
      </c>
      <c r="X11" s="45" t="n">
        <f aca="false">SUM(N11,R11)</f>
        <v>0</v>
      </c>
      <c r="Y11" s="46"/>
      <c r="Z11" s="43" t="n">
        <v>848</v>
      </c>
      <c r="AA11" s="41"/>
      <c r="AB11" s="41" t="s">
        <v>418</v>
      </c>
    </row>
    <row r="12" customFormat="false" ht="22.35" hidden="false" customHeight="false" outlineLevel="0" collapsed="false">
      <c r="A12" s="110" t="s">
        <v>419</v>
      </c>
      <c r="B12" s="110" t="s"/>
      <c r="C12" s="28" t="s">
        <v>22</v>
      </c>
      <c r="D12" s="29"/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9" t="s">
        <v>22</v>
      </c>
      <c r="P12" s="39"/>
      <c r="Q12" s="39"/>
      <c r="R12" s="40"/>
      <c r="S12" s="41"/>
      <c r="T12" s="42"/>
      <c r="U12" s="43" t="n">
        <f aca="false">SUM(Q12)</f>
        <v>0</v>
      </c>
      <c r="V12" s="95" t="n">
        <f aca="false">SUM(R12)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 t="n">
        <v>854</v>
      </c>
      <c r="AA12" s="41"/>
      <c r="AB12" s="41" t="s">
        <v>419</v>
      </c>
    </row>
    <row r="13" customFormat="false" ht="22.35" hidden="false" customHeight="false" outlineLevel="0" collapsed="false">
      <c r="A13" s="110" t="s">
        <v>420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39" t="s">
        <v>22</v>
      </c>
      <c r="P13" s="39"/>
      <c r="Q13" s="39"/>
      <c r="R13" s="40"/>
      <c r="S13" s="41"/>
      <c r="T13" s="42"/>
      <c r="U13" s="43" t="n">
        <f aca="false">SUM(Q13)</f>
        <v>0</v>
      </c>
      <c r="V13" s="95" t="n">
        <f aca="false">SUM(R13)</f>
        <v>0</v>
      </c>
      <c r="W13" s="36" t="n">
        <f aca="false">SUM(M13,Q13)</f>
        <v>0</v>
      </c>
      <c r="X13" s="45" t="n">
        <f aca="false">SUM(N13,R13)</f>
        <v>0</v>
      </c>
      <c r="Y13" s="46"/>
      <c r="Z13" s="43" t="n">
        <v>861</v>
      </c>
      <c r="AA13" s="41"/>
      <c r="AB13" s="41" t="s">
        <v>420</v>
      </c>
    </row>
    <row r="14" customFormat="false" ht="22.35" hidden="false" customHeight="false" outlineLevel="0" collapsed="false">
      <c r="A14" s="110" t="s">
        <v>421</v>
      </c>
      <c r="B14" s="110" t="s"/>
      <c r="C14" s="28" t="s">
        <v>22</v>
      </c>
      <c r="D14" s="29"/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0</v>
      </c>
      <c r="N14" s="37" t="n">
        <f aca="false">SUM(D14,J14)</f>
        <v>0</v>
      </c>
      <c r="O14" s="73" t="s">
        <v>422</v>
      </c>
      <c r="P14" s="39" t="s">
        <v>22</v>
      </c>
      <c r="Q14" s="39" t="n">
        <v>1</v>
      </c>
      <c r="R14" s="40" t="n">
        <v>1000</v>
      </c>
      <c r="S14" s="41"/>
      <c r="T14" s="42"/>
      <c r="U14" s="43" t="n">
        <f aca="false">SUM(Q14)</f>
        <v>1</v>
      </c>
      <c r="V14" s="95" t="n">
        <f aca="false">SUM(R14)</f>
        <v>1000</v>
      </c>
      <c r="W14" s="36" t="n">
        <f aca="false">SUM(M14,Q14)</f>
        <v>1</v>
      </c>
      <c r="X14" s="45" t="n">
        <f aca="false">SUM(N14,R14)</f>
        <v>1000</v>
      </c>
      <c r="Y14" s="46"/>
      <c r="Z14" s="43" t="n">
        <v>867</v>
      </c>
      <c r="AA14" s="41" t="n">
        <v>868</v>
      </c>
      <c r="AB14" s="41" t="s">
        <v>421</v>
      </c>
    </row>
    <row r="15" customFormat="false" ht="22.35" hidden="false" customHeight="false" outlineLevel="0" collapsed="false">
      <c r="A15" s="110" t="s">
        <v>423</v>
      </c>
      <c r="B15" s="110" t="s"/>
      <c r="C15" s="28" t="s">
        <v>22</v>
      </c>
      <c r="D15" s="29"/>
      <c r="E15" s="30"/>
      <c r="F15" s="31"/>
      <c r="G15" s="76" t="s">
        <v>424</v>
      </c>
      <c r="H15" s="33" t="s">
        <v>22</v>
      </c>
      <c r="I15" s="50" t="n">
        <v>1</v>
      </c>
      <c r="J15" s="34" t="n">
        <v>500</v>
      </c>
      <c r="K15" s="33"/>
      <c r="L15" s="35"/>
      <c r="M15" s="36" t="n">
        <f aca="false">SUM(C15,I15)</f>
        <v>1</v>
      </c>
      <c r="N15" s="37" t="n">
        <f aca="false">SUM(D15,J15)</f>
        <v>500</v>
      </c>
      <c r="O15" s="39" t="s">
        <v>22</v>
      </c>
      <c r="P15" s="39"/>
      <c r="Q15" s="39"/>
      <c r="R15" s="40"/>
      <c r="S15" s="41"/>
      <c r="T15" s="42"/>
      <c r="U15" s="43" t="n">
        <f aca="false">SUM(Q15)</f>
        <v>0</v>
      </c>
      <c r="V15" s="95" t="n">
        <f aca="false">SUM(R15)</f>
        <v>0</v>
      </c>
      <c r="W15" s="36" t="n">
        <f aca="false">SUM(M15,Q15)</f>
        <v>1</v>
      </c>
      <c r="X15" s="45" t="n">
        <f aca="false">SUM(N15,R15)</f>
        <v>500</v>
      </c>
      <c r="Y15" s="46"/>
      <c r="Z15" s="43" t="n">
        <v>874</v>
      </c>
      <c r="AA15" s="41" t="n">
        <v>873</v>
      </c>
      <c r="AB15" s="41" t="s">
        <v>423</v>
      </c>
    </row>
    <row r="16" customFormat="false" ht="22.35" hidden="false" customHeight="false" outlineLevel="0" collapsed="false">
      <c r="A16" s="110" t="s">
        <v>425</v>
      </c>
      <c r="B16" s="110" t="s"/>
      <c r="C16" s="28" t="s">
        <v>22</v>
      </c>
      <c r="D16" s="29"/>
      <c r="E16" s="30"/>
      <c r="F16" s="31"/>
      <c r="G16" s="33" t="s">
        <v>22</v>
      </c>
      <c r="H16" s="33"/>
      <c r="I16" s="50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0</v>
      </c>
      <c r="X16" s="45" t="n">
        <f aca="false">SUM(N16,R16)</f>
        <v>0</v>
      </c>
      <c r="Y16" s="49"/>
      <c r="Z16" s="43" t="n">
        <v>881</v>
      </c>
      <c r="AA16" s="41"/>
      <c r="AB16" s="41" t="s">
        <v>425</v>
      </c>
    </row>
    <row r="17" customFormat="false" ht="22.35" hidden="false" customHeight="false" outlineLevel="0" collapsed="false">
      <c r="A17" s="110" t="s">
        <v>426</v>
      </c>
      <c r="B17" s="110" t="s"/>
      <c r="C17" s="28" t="s">
        <v>22</v>
      </c>
      <c r="D17" s="29"/>
      <c r="E17" s="30"/>
      <c r="F17" s="31"/>
      <c r="G17" s="33" t="s">
        <v>22</v>
      </c>
      <c r="H17" s="33"/>
      <c r="I17" s="50"/>
      <c r="J17" s="34"/>
      <c r="K17" s="33"/>
      <c r="L17" s="35"/>
      <c r="M17" s="36" t="n">
        <f aca="false">SUM(C17,I17)</f>
        <v>0</v>
      </c>
      <c r="N17" s="37" t="n">
        <f aca="false">SUM(D17,J17)</f>
        <v>0</v>
      </c>
      <c r="O17" s="39" t="s">
        <v>22</v>
      </c>
      <c r="P17" s="39"/>
      <c r="Q17" s="39"/>
      <c r="R17" s="40"/>
      <c r="S17" s="41"/>
      <c r="T17" s="42"/>
      <c r="U17" s="43" t="n">
        <f aca="false">SUM(Q17)</f>
        <v>0</v>
      </c>
      <c r="V17" s="95" t="n">
        <f aca="false">SUM(R17)</f>
        <v>0</v>
      </c>
      <c r="W17" s="36" t="n">
        <f aca="false">SUM(M17,Q17)</f>
        <v>0</v>
      </c>
      <c r="X17" s="45" t="n">
        <f aca="false">SUM(N17,R17)</f>
        <v>0</v>
      </c>
      <c r="Y17" s="49"/>
      <c r="Z17" s="43" t="n">
        <v>884</v>
      </c>
      <c r="AA17" s="41"/>
      <c r="AB17" s="41" t="s">
        <v>426</v>
      </c>
    </row>
    <row r="18" customFormat="false" ht="22.35" hidden="false" customHeight="false" outlineLevel="0" collapsed="false">
      <c r="A18" s="110" t="s">
        <v>427</v>
      </c>
      <c r="B18" s="110" t="s"/>
      <c r="C18" s="28" t="s">
        <v>22</v>
      </c>
      <c r="D18" s="29"/>
      <c r="E18" s="30"/>
      <c r="F18" s="31"/>
      <c r="G18" s="77" t="s">
        <v>22</v>
      </c>
      <c r="H18" s="33"/>
      <c r="I18" s="50"/>
      <c r="J18" s="34"/>
      <c r="K18" s="33"/>
      <c r="L18" s="35"/>
      <c r="M18" s="36" t="n">
        <f aca="false">SUM(C18,I18)</f>
        <v>0</v>
      </c>
      <c r="N18" s="37" t="n">
        <f aca="false">SUM(D18,J18)</f>
        <v>0</v>
      </c>
      <c r="O18" s="73" t="s">
        <v>428</v>
      </c>
      <c r="P18" s="39" t="s">
        <v>22</v>
      </c>
      <c r="Q18" s="39" t="n">
        <v>1</v>
      </c>
      <c r="R18" s="40" t="n">
        <v>4639</v>
      </c>
      <c r="S18" s="41"/>
      <c r="T18" s="42"/>
      <c r="U18" s="43" t="n">
        <f aca="false">SUM(Q18)</f>
        <v>1</v>
      </c>
      <c r="V18" s="95" t="n">
        <f aca="false">SUM(R18)</f>
        <v>4639</v>
      </c>
      <c r="W18" s="36" t="n">
        <f aca="false">SUM(M18,Q18)</f>
        <v>1</v>
      </c>
      <c r="X18" s="45" t="n">
        <f aca="false">SUM(N18,R18)</f>
        <v>4639</v>
      </c>
      <c r="Y18" s="46"/>
      <c r="Z18" s="43" t="n">
        <v>889</v>
      </c>
      <c r="AA18" s="41" t="n">
        <v>890</v>
      </c>
      <c r="AB18" s="41" t="s">
        <v>427</v>
      </c>
    </row>
    <row r="19" customFormat="false" ht="22.35" hidden="false" customHeight="false" outlineLevel="0" collapsed="false">
      <c r="A19" s="110" t="s">
        <v>429</v>
      </c>
      <c r="B19" s="110" t="s"/>
      <c r="C19" s="28" t="s">
        <v>22</v>
      </c>
      <c r="D19" s="29"/>
      <c r="E19" s="30"/>
      <c r="F19" s="31"/>
      <c r="G19" s="77" t="s">
        <v>22</v>
      </c>
      <c r="H19" s="33"/>
      <c r="I19" s="50"/>
      <c r="J19" s="34"/>
      <c r="K19" s="33"/>
      <c r="L19" s="35"/>
      <c r="M19" s="36" t="n">
        <f aca="false">SUM(C19,I19)</f>
        <v>0</v>
      </c>
      <c r="N19" s="37" t="n">
        <f aca="false">SUM(D19,J19)</f>
        <v>0</v>
      </c>
      <c r="O19" s="73" t="s">
        <v>430</v>
      </c>
      <c r="P19" s="39" t="s">
        <v>22</v>
      </c>
      <c r="Q19" s="39" t="n">
        <v>1</v>
      </c>
      <c r="R19" s="40" t="n">
        <v>3200</v>
      </c>
      <c r="S19" s="41"/>
      <c r="T19" s="42"/>
      <c r="U19" s="43" t="n">
        <f aca="false">SUM(Q19)</f>
        <v>1</v>
      </c>
      <c r="V19" s="95" t="n">
        <f aca="false">SUM(R19)</f>
        <v>3200</v>
      </c>
      <c r="W19" s="36" t="n">
        <f aca="false">SUM(M19,Q19)</f>
        <v>1</v>
      </c>
      <c r="X19" s="45" t="n">
        <f aca="false">SUM(N19,R19)</f>
        <v>3200</v>
      </c>
      <c r="Y19" s="46"/>
      <c r="Z19" s="43" t="n">
        <v>899</v>
      </c>
      <c r="AA19" s="41" t="n">
        <v>900</v>
      </c>
      <c r="AB19" s="41" t="s">
        <v>429</v>
      </c>
    </row>
    <row r="20" customFormat="false" ht="22.35" hidden="false" customHeight="false" outlineLevel="0" collapsed="false">
      <c r="A20" s="110" t="s">
        <v>431</v>
      </c>
      <c r="B20" s="110" t="s"/>
      <c r="C20" s="28" t="s">
        <v>22</v>
      </c>
      <c r="D20" s="29"/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0</v>
      </c>
      <c r="N20" s="37" t="n">
        <f aca="false">SUM(D20,J20)</f>
        <v>0</v>
      </c>
      <c r="O20" s="73" t="s">
        <v>432</v>
      </c>
      <c r="P20" s="39" t="s">
        <v>22</v>
      </c>
      <c r="Q20" s="39" t="n">
        <v>1</v>
      </c>
      <c r="R20" s="40" t="n">
        <v>5000</v>
      </c>
      <c r="S20" s="41"/>
      <c r="T20" s="42"/>
      <c r="U20" s="43" t="n">
        <f aca="false">SUM(Q20)</f>
        <v>1</v>
      </c>
      <c r="V20" s="95" t="n">
        <f aca="false">SUM(R20)</f>
        <v>5000</v>
      </c>
      <c r="W20" s="36" t="n">
        <f aca="false">SUM(M20,Q20)</f>
        <v>1</v>
      </c>
      <c r="X20" s="45" t="n">
        <f aca="false">SUM(N20,R20)</f>
        <v>5000</v>
      </c>
      <c r="Y20" s="46"/>
      <c r="Z20" s="43" t="n">
        <v>903</v>
      </c>
      <c r="AA20" s="41" t="n">
        <v>904</v>
      </c>
      <c r="AB20" s="41" t="s">
        <v>431</v>
      </c>
    </row>
    <row r="21" customFormat="false" ht="22.35" hidden="false" customHeight="false" outlineLevel="0" collapsed="false">
      <c r="A21" s="110" t="s">
        <v>433</v>
      </c>
      <c r="B21" s="110" t="s"/>
      <c r="C21" s="28" t="s">
        <v>22</v>
      </c>
      <c r="D21" s="29"/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38" t="s">
        <v>22</v>
      </c>
      <c r="P21" s="39"/>
      <c r="Q21" s="39"/>
      <c r="R21" s="40"/>
      <c r="S21" s="41"/>
      <c r="T21" s="42"/>
      <c r="U21" s="43" t="n">
        <f aca="false">SUM(Q21)</f>
        <v>0</v>
      </c>
      <c r="V21" s="95" t="n">
        <f aca="false">SUM(R21)</f>
        <v>0</v>
      </c>
      <c r="W21" s="36" t="n">
        <f aca="false">SUM(M21,Q21)</f>
        <v>0</v>
      </c>
      <c r="X21" s="45" t="n">
        <f aca="false">SUM(N21,R21)</f>
        <v>0</v>
      </c>
      <c r="Y21" s="46"/>
      <c r="Z21" s="43" t="n">
        <v>909</v>
      </c>
      <c r="AA21" s="41"/>
      <c r="AB21" s="41" t="s">
        <v>433</v>
      </c>
    </row>
    <row r="22" customFormat="false" ht="24.75" hidden="false" customHeight="true" outlineLevel="0" collapsed="false">
      <c r="A22" s="110" t="s">
        <v>434</v>
      </c>
      <c r="B22" s="110" t="s"/>
      <c r="C22" s="80" t="s">
        <v>22</v>
      </c>
      <c r="D22" s="81"/>
      <c r="E22" s="82"/>
      <c r="F22" s="83"/>
      <c r="G22" s="84" t="s">
        <v>22</v>
      </c>
      <c r="H22" s="85"/>
      <c r="I22" s="85"/>
      <c r="J22" s="86"/>
      <c r="K22" s="87"/>
      <c r="L22" s="88"/>
      <c r="M22" s="36" t="n">
        <f aca="false">SUM(C22,I22)</f>
        <v>0</v>
      </c>
      <c r="N22" s="37" t="n">
        <f aca="false">SUM(D22,J22)</f>
        <v>0</v>
      </c>
      <c r="O22" s="89" t="s">
        <v>22</v>
      </c>
      <c r="P22" s="90"/>
      <c r="Q22" s="91"/>
      <c r="R22" s="92"/>
      <c r="S22" s="93"/>
      <c r="T22" s="94"/>
      <c r="U22" s="114"/>
      <c r="V22" s="115"/>
      <c r="W22" s="36" t="n">
        <f aca="false">SUM(M22,Q22)</f>
        <v>0</v>
      </c>
      <c r="X22" s="45" t="n">
        <f aca="false">SUM(N22,R22)</f>
        <v>0</v>
      </c>
      <c r="Y22" s="46"/>
      <c r="Z22" s="43" t="n">
        <v>915</v>
      </c>
      <c r="AA22" s="41"/>
      <c r="AB22" s="41" t="s">
        <v>434</v>
      </c>
    </row>
    <row r="23" customFormat="false" ht="22.35" hidden="false" customHeight="false" outlineLevel="0" collapsed="false">
      <c r="A23" s="110" t="s">
        <v>435</v>
      </c>
      <c r="B23" s="110" t="s"/>
      <c r="C23" s="80" t="s">
        <v>22</v>
      </c>
      <c r="D23" s="81"/>
      <c r="E23" s="82"/>
      <c r="F23" s="83"/>
      <c r="G23" s="113" t="s">
        <v>22</v>
      </c>
      <c r="H23" s="85"/>
      <c r="I23" s="85"/>
      <c r="J23" s="86"/>
      <c r="K23" s="87"/>
      <c r="L23" s="88"/>
      <c r="M23" s="36" t="n">
        <f aca="false">SUM(C23,I23)</f>
        <v>0</v>
      </c>
      <c r="N23" s="37" t="n">
        <f aca="false">SUM(D23,J23)</f>
        <v>0</v>
      </c>
      <c r="O23" s="89" t="s">
        <v>22</v>
      </c>
      <c r="P23" s="90"/>
      <c r="Q23" s="91"/>
      <c r="R23" s="92"/>
      <c r="S23" s="93"/>
      <c r="T23" s="94"/>
      <c r="U23" s="114"/>
      <c r="V23" s="115"/>
      <c r="W23" s="36" t="n">
        <f aca="false">SUM(M23,Q23)</f>
        <v>0</v>
      </c>
      <c r="X23" s="45" t="n">
        <f aca="false">SUM(N23,R23)</f>
        <v>0</v>
      </c>
      <c r="Y23" s="46"/>
      <c r="Z23" s="43" t="n">
        <v>923</v>
      </c>
      <c r="AA23" s="41"/>
      <c r="AB23" s="41" t="s">
        <v>435</v>
      </c>
    </row>
    <row r="24" customFormat="false" ht="22.35" hidden="false" customHeight="false" outlineLevel="0" collapsed="false">
      <c r="A24" s="110" t="s">
        <v>436</v>
      </c>
      <c r="B24" s="110" t="s"/>
      <c r="C24" s="80" t="s">
        <v>22</v>
      </c>
      <c r="D24" s="81"/>
      <c r="E24" s="82"/>
      <c r="F24" s="83"/>
      <c r="G24" s="113" t="s">
        <v>22</v>
      </c>
      <c r="H24" s="85"/>
      <c r="I24" s="85"/>
      <c r="J24" s="86"/>
      <c r="K24" s="87"/>
      <c r="L24" s="88"/>
      <c r="M24" s="36" t="n">
        <f aca="false">SUM(C24,I24)</f>
        <v>0</v>
      </c>
      <c r="N24" s="37" t="n">
        <f aca="false">SUM(D24,J24)</f>
        <v>0</v>
      </c>
      <c r="O24" s="89" t="s">
        <v>22</v>
      </c>
      <c r="P24" s="90"/>
      <c r="Q24" s="91"/>
      <c r="R24" s="92"/>
      <c r="S24" s="93"/>
      <c r="T24" s="94"/>
      <c r="U24" s="114"/>
      <c r="V24" s="115"/>
      <c r="W24" s="36" t="n">
        <f aca="false">SUM(M24,Q24)</f>
        <v>0</v>
      </c>
      <c r="X24" s="45" t="n">
        <f aca="false">SUM(N24,R24)</f>
        <v>0</v>
      </c>
      <c r="Y24" s="46"/>
      <c r="Z24" s="43" t="n">
        <v>926</v>
      </c>
      <c r="AA24" s="41"/>
      <c r="AB24" s="41" t="s">
        <v>436</v>
      </c>
    </row>
    <row r="25" customFormat="false" ht="22.35" hidden="false" customHeight="false" outlineLevel="0" collapsed="false">
      <c r="A25" s="110" t="s">
        <v>437</v>
      </c>
      <c r="B25" s="110" t="s"/>
      <c r="C25" s="80" t="s">
        <v>22</v>
      </c>
      <c r="D25" s="81"/>
      <c r="E25" s="82"/>
      <c r="F25" s="83"/>
      <c r="G25" s="116" t="s">
        <v>438</v>
      </c>
      <c r="H25" s="85" t="s">
        <v>22</v>
      </c>
      <c r="I25" s="85" t="n">
        <v>1</v>
      </c>
      <c r="J25" s="86" t="n">
        <v>3400</v>
      </c>
      <c r="K25" s="87"/>
      <c r="L25" s="88"/>
      <c r="M25" s="36" t="n">
        <f aca="false">SUM(C25,I25)</f>
        <v>1</v>
      </c>
      <c r="N25" s="37" t="n">
        <f aca="false">SUM(D25,J25)</f>
        <v>3400</v>
      </c>
      <c r="O25" s="107" t="s">
        <v>439</v>
      </c>
      <c r="P25" s="90" t="s">
        <v>22</v>
      </c>
      <c r="Q25" s="91" t="n">
        <v>1</v>
      </c>
      <c r="R25" s="92" t="n">
        <v>1000</v>
      </c>
      <c r="S25" s="93"/>
      <c r="T25" s="94"/>
      <c r="U25" s="114"/>
      <c r="V25" s="115"/>
      <c r="W25" s="36" t="n">
        <f aca="false">SUM(M25,Q25)</f>
        <v>2</v>
      </c>
      <c r="X25" s="45" t="n">
        <f aca="false">SUM(N25,R25)</f>
        <v>4400</v>
      </c>
      <c r="Y25" s="46"/>
      <c r="Z25" s="43" t="n">
        <v>933</v>
      </c>
      <c r="AA25" s="41" t="n">
        <v>934</v>
      </c>
      <c r="AB25" s="41" t="s">
        <v>437</v>
      </c>
    </row>
    <row r="26" customFormat="false" ht="19.7" hidden="false" customHeight="false" outlineLevel="0" collapsed="false">
      <c r="A26" s="52" t="s">
        <v>23</v>
      </c>
      <c r="B26" s="52" t="s"/>
      <c r="C26" s="53" t="n">
        <f aca="false">SUM(C6:C25)</f>
        <v>0</v>
      </c>
      <c r="D26" s="54" t="n">
        <f aca="false">SUM(D6:D25)</f>
        <v>0</v>
      </c>
      <c r="E26" s="55" t="n">
        <f aca="false">SUM(E6:E21)</f>
        <v>0</v>
      </c>
      <c r="F26" s="56" t="n">
        <f aca="false">SUM(F6:F21)</f>
        <v>0</v>
      </c>
      <c r="G26" s="57" t="s">
        <v>23</v>
      </c>
      <c r="H26" s="57"/>
      <c r="I26" s="58" t="n">
        <f aca="false">SUM(I6:I25)</f>
        <v>3</v>
      </c>
      <c r="J26" s="54" t="n">
        <f aca="false">SUM(J6:J25)</f>
        <v>5700</v>
      </c>
      <c r="K26" s="55" t="n">
        <f aca="false">SUM(K6:K21)</f>
        <v>0</v>
      </c>
      <c r="L26" s="56"/>
      <c r="M26" s="59" t="n">
        <f aca="false">SUM(M6:M25)</f>
        <v>3</v>
      </c>
      <c r="N26" s="60" t="n">
        <f aca="false">SUM(N6:N25)</f>
        <v>5700</v>
      </c>
      <c r="O26" s="57" t="s">
        <v>23</v>
      </c>
      <c r="P26" s="57"/>
      <c r="Q26" s="61" t="n">
        <f aca="false">SUM(Q6:Q25)</f>
        <v>5</v>
      </c>
      <c r="R26" s="62" t="n">
        <f aca="false">SUM(R6:R25)</f>
        <v>14839</v>
      </c>
      <c r="S26" s="55" t="n">
        <f aca="false">SUM(S6:S21)</f>
        <v>0</v>
      </c>
      <c r="T26" s="56" t="n">
        <f aca="false">SUM(T6:T21)</f>
        <v>0</v>
      </c>
      <c r="U26" s="101" t="n">
        <f aca="false">SUM(U6:U21)</f>
        <v>4</v>
      </c>
      <c r="V26" s="102" t="n">
        <f aca="false">SUM(V6:V21)</f>
        <v>13839</v>
      </c>
      <c r="W26" s="59" t="n">
        <f aca="false">SUM(W6:W25)</f>
        <v>8</v>
      </c>
      <c r="X26" s="65" t="n">
        <f aca="false">SUM(X6:X25)</f>
        <v>20539</v>
      </c>
      <c r="Y26" s="66"/>
      <c r="Z26" s="67"/>
      <c r="AA26" s="67"/>
      <c r="AB26" s="67"/>
    </row>
    <row r="27" customFormat="false" ht="15.75" hidden="false" customHeight="false" outlineLevel="0" collapsed="false">
      <c r="A27" s="2"/>
      <c r="B27" s="2"/>
      <c r="C27" s="2"/>
      <c r="D27" s="68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outlinePr summaryBelow="0"/>
    <pageSetUpPr fitToPage="true"/>
  </sheetPr>
  <dimension ref="A1:AB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440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13" t="s">
        <v>9</v>
      </c>
      <c r="AA3" s="117" t="s">
        <v>10</v>
      </c>
      <c r="AB3" s="118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3"/>
      <c r="AA4" s="13" t="s">
        <v>441</v>
      </c>
      <c r="AB4" s="118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3"/>
      <c r="AA5" s="13"/>
      <c r="AB5" s="13"/>
    </row>
    <row r="6" customFormat="false" ht="22.35" hidden="false" customHeight="false" outlineLevel="0" collapsed="false">
      <c r="A6" s="110" t="s">
        <v>442</v>
      </c>
      <c r="B6" s="110" t="s"/>
      <c r="C6" s="28" t="s">
        <v>22</v>
      </c>
      <c r="D6" s="29"/>
      <c r="E6" s="30"/>
      <c r="F6" s="31"/>
      <c r="G6" s="77" t="s">
        <v>22</v>
      </c>
      <c r="H6" s="87"/>
      <c r="I6" s="50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39" t="s">
        <v>22</v>
      </c>
      <c r="P6" s="39"/>
      <c r="Q6" s="39"/>
      <c r="R6" s="40"/>
      <c r="S6" s="41"/>
      <c r="T6" s="42"/>
      <c r="U6" s="43" t="n">
        <f aca="false">SUM(Q6)</f>
        <v>0</v>
      </c>
      <c r="V6" s="95" t="n">
        <f aca="false">SUM(R6)</f>
        <v>0</v>
      </c>
      <c r="W6" s="36" t="n">
        <f aca="false">SUM(M6,Q6)</f>
        <v>0</v>
      </c>
      <c r="X6" s="45" t="n">
        <f aca="false">SUM(N6,R6)</f>
        <v>0</v>
      </c>
      <c r="Y6" s="46"/>
      <c r="Z6" s="41" t="n">
        <v>940</v>
      </c>
      <c r="AA6" s="41"/>
      <c r="AB6" s="41" t="s">
        <v>442</v>
      </c>
    </row>
    <row r="7" customFormat="false" ht="22.35" hidden="false" customHeight="false" outlineLevel="0" collapsed="false">
      <c r="A7" s="110" t="s">
        <v>443</v>
      </c>
      <c r="B7" s="110" t="s"/>
      <c r="C7" s="28" t="s">
        <v>22</v>
      </c>
      <c r="D7" s="29"/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0</v>
      </c>
      <c r="N7" s="37" t="n">
        <f aca="false">SUM(D7,J7)</f>
        <v>0</v>
      </c>
      <c r="O7" s="39" t="s">
        <v>22</v>
      </c>
      <c r="P7" s="39"/>
      <c r="Q7" s="39"/>
      <c r="R7" s="40"/>
      <c r="S7" s="41"/>
      <c r="T7" s="42"/>
      <c r="U7" s="43" t="n">
        <f aca="false">SUM(Q7)</f>
        <v>0</v>
      </c>
      <c r="V7" s="95" t="n">
        <f aca="false">SUM(R7)</f>
        <v>0</v>
      </c>
      <c r="W7" s="36" t="n">
        <f aca="false">SUM(M7,Q7)</f>
        <v>0</v>
      </c>
      <c r="X7" s="45" t="n">
        <f aca="false">SUM(N7,R7)</f>
        <v>0</v>
      </c>
      <c r="Y7" s="46"/>
      <c r="Z7" s="41" t="n">
        <v>948</v>
      </c>
      <c r="AA7" s="41"/>
      <c r="AB7" s="41" t="s">
        <v>443</v>
      </c>
    </row>
    <row r="8" customFormat="false" ht="22.35" hidden="false" customHeight="false" outlineLevel="0" collapsed="false">
      <c r="A8" s="110" t="s">
        <v>444</v>
      </c>
      <c r="B8" s="110" t="s"/>
      <c r="C8" s="28" t="s">
        <v>22</v>
      </c>
      <c r="D8" s="29"/>
      <c r="E8" s="30"/>
      <c r="F8" s="31"/>
      <c r="G8" s="77" t="s">
        <v>22</v>
      </c>
      <c r="H8" s="33"/>
      <c r="I8" s="50"/>
      <c r="J8" s="34"/>
      <c r="K8" s="33"/>
      <c r="L8" s="35"/>
      <c r="M8" s="36" t="n">
        <f aca="false">SUM(C8,I8)</f>
        <v>0</v>
      </c>
      <c r="N8" s="37" t="n">
        <f aca="false">SUM(D8,J8)</f>
        <v>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0</v>
      </c>
      <c r="X8" s="45" t="n">
        <f aca="false">SUM(N8,R8)</f>
        <v>0</v>
      </c>
      <c r="Y8" s="105"/>
      <c r="Z8" s="41" t="n">
        <v>952</v>
      </c>
      <c r="AA8" s="41"/>
      <c r="AB8" s="41" t="s">
        <v>444</v>
      </c>
    </row>
    <row r="9" customFormat="false" ht="22.35" hidden="false" customHeight="false" outlineLevel="0" collapsed="false">
      <c r="A9" s="110" t="s">
        <v>445</v>
      </c>
      <c r="B9" s="110" t="s"/>
      <c r="C9" s="28" t="s">
        <v>22</v>
      </c>
      <c r="D9" s="29"/>
      <c r="E9" s="30"/>
      <c r="F9" s="31"/>
      <c r="G9" s="76" t="s">
        <v>446</v>
      </c>
      <c r="H9" s="33" t="s">
        <v>22</v>
      </c>
      <c r="I9" s="50" t="n">
        <v>1</v>
      </c>
      <c r="J9" s="34" t="n">
        <v>200</v>
      </c>
      <c r="K9" s="33"/>
      <c r="L9" s="35"/>
      <c r="M9" s="36" t="n">
        <f aca="false">SUM(C9,I9)</f>
        <v>1</v>
      </c>
      <c r="N9" s="37" t="n">
        <f aca="false">SUM(D9,J9)</f>
        <v>200</v>
      </c>
      <c r="O9" s="39" t="s">
        <v>22</v>
      </c>
      <c r="P9" s="39"/>
      <c r="Q9" s="39"/>
      <c r="R9" s="40"/>
      <c r="S9" s="41"/>
      <c r="T9" s="42"/>
      <c r="U9" s="43" t="n">
        <f aca="false">SUM(Q9)</f>
        <v>0</v>
      </c>
      <c r="V9" s="95" t="n">
        <f aca="false">SUM(R9)</f>
        <v>0</v>
      </c>
      <c r="W9" s="36" t="n">
        <f aca="false">SUM(M9,Q9)</f>
        <v>1</v>
      </c>
      <c r="X9" s="45" t="n">
        <f aca="false">SUM(N9,R9)</f>
        <v>200</v>
      </c>
      <c r="Y9" s="46"/>
      <c r="Z9" s="41" t="n">
        <v>959</v>
      </c>
      <c r="AA9" s="41" t="n">
        <v>959</v>
      </c>
      <c r="AB9" s="41" t="s">
        <v>445</v>
      </c>
    </row>
    <row r="10" customFormat="false" ht="22.35" hidden="false" customHeight="false" outlineLevel="0" collapsed="false">
      <c r="A10" s="110" t="s">
        <v>447</v>
      </c>
      <c r="B10" s="110" t="s"/>
      <c r="C10" s="28" t="s">
        <v>22</v>
      </c>
      <c r="D10" s="29"/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0</v>
      </c>
      <c r="X10" s="45" t="n">
        <f aca="false">SUM(N10,R10)</f>
        <v>0</v>
      </c>
      <c r="Y10" s="46"/>
      <c r="Z10" s="41" t="n">
        <v>966</v>
      </c>
      <c r="AA10" s="41"/>
      <c r="AB10" s="41" t="s">
        <v>447</v>
      </c>
    </row>
    <row r="11" customFormat="false" ht="22.35" hidden="false" customHeight="false" outlineLevel="0" collapsed="false">
      <c r="A11" s="110" t="s">
        <v>448</v>
      </c>
      <c r="B11" s="110" t="s"/>
      <c r="C11" s="28" t="s">
        <v>22</v>
      </c>
      <c r="D11" s="29"/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0</v>
      </c>
      <c r="N11" s="37" t="n">
        <f aca="false">SUM(D11,J11)</f>
        <v>0</v>
      </c>
      <c r="O11" s="39" t="s">
        <v>22</v>
      </c>
      <c r="P11" s="39"/>
      <c r="Q11" s="39"/>
      <c r="R11" s="40"/>
      <c r="S11" s="41"/>
      <c r="T11" s="42"/>
      <c r="U11" s="43" t="n">
        <f aca="false">SUM(Q11)</f>
        <v>0</v>
      </c>
      <c r="V11" s="95" t="n">
        <f aca="false">SUM(R11)</f>
        <v>0</v>
      </c>
      <c r="W11" s="36" t="n">
        <f aca="false">SUM(M11,Q11)</f>
        <v>0</v>
      </c>
      <c r="X11" s="45" t="n">
        <f aca="false">SUM(N11,R11)</f>
        <v>0</v>
      </c>
      <c r="Y11" s="46"/>
      <c r="Z11" s="41" t="n">
        <v>969</v>
      </c>
      <c r="AA11" s="41"/>
      <c r="AB11" s="41" t="s">
        <v>448</v>
      </c>
    </row>
    <row r="12" customFormat="false" ht="22.35" hidden="false" customHeight="false" outlineLevel="0" collapsed="false">
      <c r="A12" s="110" t="s">
        <v>449</v>
      </c>
      <c r="B12" s="110" t="s"/>
      <c r="C12" s="28" t="s">
        <v>22</v>
      </c>
      <c r="D12" s="29"/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73" t="s">
        <v>450</v>
      </c>
      <c r="P12" s="39" t="s">
        <v>22</v>
      </c>
      <c r="Q12" s="39" t="n">
        <v>1</v>
      </c>
      <c r="R12" s="40" t="n">
        <v>2200</v>
      </c>
      <c r="S12" s="41"/>
      <c r="T12" s="42"/>
      <c r="U12" s="43" t="n">
        <f aca="false">SUM(Q12)</f>
        <v>1</v>
      </c>
      <c r="V12" s="95" t="n">
        <f aca="false">SUM(R12)</f>
        <v>2200</v>
      </c>
      <c r="W12" s="36" t="n">
        <f aca="false">SUM(M12,Q12)</f>
        <v>1</v>
      </c>
      <c r="X12" s="45" t="n">
        <f aca="false">SUM(N12,R12)</f>
        <v>2200</v>
      </c>
      <c r="Y12" s="46"/>
      <c r="Z12" s="41" t="n">
        <v>978</v>
      </c>
      <c r="AA12" s="41"/>
      <c r="AB12" s="41" t="s">
        <v>449</v>
      </c>
    </row>
    <row r="13" customFormat="false" ht="22.35" hidden="false" customHeight="false" outlineLevel="0" collapsed="false">
      <c r="A13" s="110" t="s">
        <v>451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73" t="s">
        <v>452</v>
      </c>
      <c r="P13" s="39" t="s">
        <v>22</v>
      </c>
      <c r="Q13" s="39" t="n">
        <v>1</v>
      </c>
      <c r="R13" s="40" t="n">
        <v>3000</v>
      </c>
      <c r="S13" s="41"/>
      <c r="T13" s="42"/>
      <c r="U13" s="43" t="n">
        <f aca="false">SUM(Q13)</f>
        <v>1</v>
      </c>
      <c r="V13" s="95" t="n">
        <f aca="false">SUM(R13)</f>
        <v>3000</v>
      </c>
      <c r="W13" s="36" t="n">
        <f aca="false">SUM(M13,Q13)</f>
        <v>1</v>
      </c>
      <c r="X13" s="45" t="n">
        <f aca="false">SUM(N13,R13)</f>
        <v>3000</v>
      </c>
      <c r="Y13" s="46"/>
      <c r="Z13" s="41" t="n">
        <v>983</v>
      </c>
      <c r="AA13" s="41"/>
      <c r="AB13" s="41" t="s">
        <v>451</v>
      </c>
    </row>
    <row r="14" customFormat="false" ht="22.35" hidden="false" customHeight="false" outlineLevel="0" collapsed="false">
      <c r="A14" s="110" t="s">
        <v>453</v>
      </c>
      <c r="B14" s="110" t="s"/>
      <c r="C14" s="28" t="s">
        <v>22</v>
      </c>
      <c r="D14" s="29"/>
      <c r="E14" s="30"/>
      <c r="F14" s="31"/>
      <c r="G14" s="77" t="s">
        <v>22</v>
      </c>
      <c r="H14" s="33"/>
      <c r="I14" s="50"/>
      <c r="J14" s="34"/>
      <c r="K14" s="33"/>
      <c r="L14" s="35"/>
      <c r="M14" s="36" t="n">
        <f aca="false">SUM(C14,I14)</f>
        <v>0</v>
      </c>
      <c r="N14" s="37" t="n">
        <f aca="false">SUM(D14,J14)</f>
        <v>0</v>
      </c>
      <c r="O14" s="39" t="s">
        <v>22</v>
      </c>
      <c r="P14" s="39"/>
      <c r="Q14" s="39"/>
      <c r="R14" s="40"/>
      <c r="S14" s="41"/>
      <c r="T14" s="42"/>
      <c r="U14" s="43" t="n">
        <f aca="false">SUM(Q14)</f>
        <v>0</v>
      </c>
      <c r="V14" s="95" t="n">
        <f aca="false">SUM(R14)</f>
        <v>0</v>
      </c>
      <c r="W14" s="36" t="n">
        <f aca="false">SUM(M14,Q14)</f>
        <v>0</v>
      </c>
      <c r="X14" s="45" t="n">
        <f aca="false">SUM(N14,R14)</f>
        <v>0</v>
      </c>
      <c r="Y14" s="46"/>
      <c r="Z14" s="41" t="n">
        <v>987</v>
      </c>
      <c r="AA14" s="41"/>
      <c r="AB14" s="41" t="s">
        <v>453</v>
      </c>
    </row>
    <row r="15" customFormat="false" ht="22.35" hidden="false" customHeight="false" outlineLevel="0" collapsed="false">
      <c r="A15" s="110" t="s">
        <v>454</v>
      </c>
      <c r="B15" s="110" t="s"/>
      <c r="C15" s="28" t="s">
        <v>22</v>
      </c>
      <c r="D15" s="29"/>
      <c r="E15" s="30"/>
      <c r="F15" s="31"/>
      <c r="G15" s="77" t="s">
        <v>22</v>
      </c>
      <c r="H15" s="33"/>
      <c r="I15" s="50"/>
      <c r="J15" s="34"/>
      <c r="K15" s="33"/>
      <c r="L15" s="35"/>
      <c r="M15" s="36" t="n">
        <f aca="false">SUM(C15,I15)</f>
        <v>0</v>
      </c>
      <c r="N15" s="37" t="n">
        <f aca="false">SUM(D15,J15)</f>
        <v>0</v>
      </c>
      <c r="O15" s="39" t="s">
        <v>22</v>
      </c>
      <c r="P15" s="39"/>
      <c r="Q15" s="39"/>
      <c r="R15" s="40"/>
      <c r="S15" s="41"/>
      <c r="T15" s="42"/>
      <c r="U15" s="43" t="n">
        <f aca="false">SUM(Q15)</f>
        <v>0</v>
      </c>
      <c r="V15" s="95" t="n">
        <f aca="false">SUM(R15)</f>
        <v>0</v>
      </c>
      <c r="W15" s="36" t="n">
        <f aca="false">SUM(M15,Q15)</f>
        <v>0</v>
      </c>
      <c r="X15" s="45" t="n">
        <f aca="false">SUM(N15,R15)</f>
        <v>0</v>
      </c>
      <c r="Y15" s="46"/>
      <c r="Z15" s="41" t="n">
        <v>996</v>
      </c>
      <c r="AA15" s="41"/>
      <c r="AB15" s="41" t="s">
        <v>454</v>
      </c>
    </row>
    <row r="16" customFormat="false" ht="22.35" hidden="false" customHeight="false" outlineLevel="0" collapsed="false">
      <c r="A16" s="110" t="s">
        <v>455</v>
      </c>
      <c r="B16" s="110" t="s"/>
      <c r="C16" s="28" t="s">
        <v>22</v>
      </c>
      <c r="D16" s="29"/>
      <c r="E16" s="30"/>
      <c r="F16" s="31"/>
      <c r="G16" s="33" t="s">
        <v>22</v>
      </c>
      <c r="H16" s="33"/>
      <c r="I16" s="50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0</v>
      </c>
      <c r="X16" s="45" t="n">
        <f aca="false">SUM(N16,R16)</f>
        <v>0</v>
      </c>
      <c r="Y16" s="49"/>
      <c r="Z16" s="41" t="n">
        <v>1004</v>
      </c>
      <c r="AA16" s="41"/>
      <c r="AB16" s="41" t="s">
        <v>455</v>
      </c>
    </row>
    <row r="17" customFormat="false" ht="22.35" hidden="false" customHeight="false" outlineLevel="0" collapsed="false">
      <c r="A17" s="110" t="s">
        <v>456</v>
      </c>
      <c r="B17" s="110" t="s"/>
      <c r="C17" s="28" t="s">
        <v>22</v>
      </c>
      <c r="D17" s="29"/>
      <c r="E17" s="30"/>
      <c r="F17" s="31"/>
      <c r="G17" s="33" t="s">
        <v>22</v>
      </c>
      <c r="H17" s="33"/>
      <c r="I17" s="50"/>
      <c r="J17" s="34"/>
      <c r="K17" s="33"/>
      <c r="L17" s="35"/>
      <c r="M17" s="36" t="n">
        <f aca="false">SUM(C17,I17)</f>
        <v>0</v>
      </c>
      <c r="N17" s="37" t="n">
        <f aca="false">SUM(D17,J17)</f>
        <v>0</v>
      </c>
      <c r="O17" s="39" t="s">
        <v>22</v>
      </c>
      <c r="P17" s="39"/>
      <c r="Q17" s="39"/>
      <c r="R17" s="40"/>
      <c r="S17" s="41"/>
      <c r="T17" s="42"/>
      <c r="U17" s="43" t="n">
        <f aca="false">SUM(Q17)</f>
        <v>0</v>
      </c>
      <c r="V17" s="95" t="n">
        <f aca="false">SUM(R17)</f>
        <v>0</v>
      </c>
      <c r="W17" s="36" t="n">
        <f aca="false">SUM(M17,Q17)</f>
        <v>0</v>
      </c>
      <c r="X17" s="45" t="n">
        <f aca="false">SUM(N17,R17)</f>
        <v>0</v>
      </c>
      <c r="Y17" s="49"/>
      <c r="Z17" s="41" t="n">
        <v>1010</v>
      </c>
      <c r="AA17" s="41"/>
      <c r="AB17" s="41" t="s">
        <v>456</v>
      </c>
    </row>
    <row r="18" customFormat="false" ht="22.35" hidden="false" customHeight="false" outlineLevel="0" collapsed="false">
      <c r="A18" s="110" t="s">
        <v>457</v>
      </c>
      <c r="B18" s="110" t="s"/>
      <c r="C18" s="28" t="s">
        <v>22</v>
      </c>
      <c r="D18" s="29"/>
      <c r="E18" s="30"/>
      <c r="F18" s="31"/>
      <c r="G18" s="77" t="s">
        <v>22</v>
      </c>
      <c r="H18" s="33"/>
      <c r="I18" s="50"/>
      <c r="J18" s="34"/>
      <c r="K18" s="33"/>
      <c r="L18" s="35"/>
      <c r="M18" s="36" t="n">
        <f aca="false">SUM(C18,I18)</f>
        <v>0</v>
      </c>
      <c r="N18" s="37" t="n">
        <f aca="false">SUM(D18,J18)</f>
        <v>0</v>
      </c>
      <c r="O18" s="39" t="s">
        <v>22</v>
      </c>
      <c r="P18" s="39"/>
      <c r="Q18" s="39"/>
      <c r="R18" s="40"/>
      <c r="S18" s="41"/>
      <c r="T18" s="42"/>
      <c r="U18" s="43" t="n">
        <f aca="false">SUM(Q18)</f>
        <v>0</v>
      </c>
      <c r="V18" s="95" t="n">
        <f aca="false">SUM(R18)</f>
        <v>0</v>
      </c>
      <c r="W18" s="36" t="n">
        <f aca="false">SUM(M18,Q18)</f>
        <v>0</v>
      </c>
      <c r="X18" s="45" t="n">
        <f aca="false">SUM(N18,R18)</f>
        <v>0</v>
      </c>
      <c r="Y18" s="119"/>
      <c r="Z18" s="41" t="n">
        <v>1015</v>
      </c>
      <c r="AA18" s="41"/>
      <c r="AB18" s="41" t="s">
        <v>457</v>
      </c>
    </row>
    <row r="19" customFormat="false" ht="22.35" hidden="false" customHeight="false" outlineLevel="0" collapsed="false">
      <c r="A19" s="110" t="s">
        <v>458</v>
      </c>
      <c r="B19" s="110" t="s"/>
      <c r="C19" s="28" t="s">
        <v>22</v>
      </c>
      <c r="D19" s="29"/>
      <c r="E19" s="30"/>
      <c r="F19" s="31"/>
      <c r="G19" s="76" t="s">
        <v>459</v>
      </c>
      <c r="H19" s="33" t="s">
        <v>22</v>
      </c>
      <c r="I19" s="50" t="n">
        <v>1</v>
      </c>
      <c r="J19" s="34" t="n">
        <v>45560</v>
      </c>
      <c r="K19" s="33"/>
      <c r="L19" s="35"/>
      <c r="M19" s="36" t="n">
        <f aca="false">SUM(C19,I19)</f>
        <v>1</v>
      </c>
      <c r="N19" s="37" t="n">
        <f aca="false">SUM(D19,J19)</f>
        <v>45560</v>
      </c>
      <c r="O19" s="39" t="s">
        <v>22</v>
      </c>
      <c r="P19" s="39"/>
      <c r="Q19" s="39"/>
      <c r="R19" s="40"/>
      <c r="S19" s="41"/>
      <c r="T19" s="42"/>
      <c r="U19" s="43" t="n">
        <f aca="false">SUM(Q19)</f>
        <v>0</v>
      </c>
      <c r="V19" s="95" t="n">
        <f aca="false">SUM(R19)</f>
        <v>0</v>
      </c>
      <c r="W19" s="36" t="n">
        <f aca="false">SUM(M19,Q19)</f>
        <v>1</v>
      </c>
      <c r="X19" s="45" t="n">
        <f aca="false">SUM(N19,R19)</f>
        <v>45560</v>
      </c>
      <c r="Y19" s="46"/>
      <c r="Z19" s="41" t="n">
        <v>1023</v>
      </c>
      <c r="AA19" s="41" t="n">
        <v>1024</v>
      </c>
      <c r="AB19" s="41" t="s">
        <v>458</v>
      </c>
    </row>
    <row r="20" customFormat="false" ht="22.35" hidden="false" customHeight="false" outlineLevel="0" collapsed="false">
      <c r="A20" s="110" t="s">
        <v>460</v>
      </c>
      <c r="B20" s="110" t="s"/>
      <c r="C20" s="28" t="s">
        <v>22</v>
      </c>
      <c r="D20" s="29"/>
      <c r="E20" s="30"/>
      <c r="F20" s="31"/>
      <c r="G20" s="77" t="s">
        <v>22</v>
      </c>
      <c r="H20" s="33"/>
      <c r="I20" s="50"/>
      <c r="J20" s="34"/>
      <c r="K20" s="33"/>
      <c r="L20" s="35"/>
      <c r="M20" s="36" t="n">
        <f aca="false">SUM(C20,I20)</f>
        <v>0</v>
      </c>
      <c r="N20" s="37" t="n">
        <f aca="false">SUM(D20,J20)</f>
        <v>0</v>
      </c>
      <c r="O20" s="39" t="s">
        <v>22</v>
      </c>
      <c r="P20" s="39"/>
      <c r="Q20" s="39"/>
      <c r="R20" s="40"/>
      <c r="S20" s="41"/>
      <c r="T20" s="42"/>
      <c r="U20" s="43" t="n">
        <f aca="false">SUM(Q20)</f>
        <v>0</v>
      </c>
      <c r="V20" s="95" t="n">
        <f aca="false">SUM(R20)</f>
        <v>0</v>
      </c>
      <c r="W20" s="36" t="n">
        <f aca="false">SUM(M20,Q20)</f>
        <v>0</v>
      </c>
      <c r="X20" s="45" t="n">
        <f aca="false">SUM(N20,R20)</f>
        <v>0</v>
      </c>
      <c r="Y20" s="46"/>
      <c r="Z20" s="41" t="n">
        <v>1027</v>
      </c>
      <c r="AA20" s="41"/>
      <c r="AB20" s="41" t="s">
        <v>460</v>
      </c>
    </row>
    <row r="21" customFormat="false" ht="22.35" hidden="false" customHeight="false" outlineLevel="0" collapsed="false">
      <c r="A21" s="110" t="s">
        <v>461</v>
      </c>
      <c r="B21" s="110" t="s"/>
      <c r="C21" s="28" t="s">
        <v>22</v>
      </c>
      <c r="D21" s="29"/>
      <c r="E21" s="30"/>
      <c r="F21" s="31"/>
      <c r="G21" s="77" t="s">
        <v>22</v>
      </c>
      <c r="H21" s="33"/>
      <c r="I21" s="50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72" t="s">
        <v>462</v>
      </c>
      <c r="P21" s="39" t="s">
        <v>22</v>
      </c>
      <c r="Q21" s="39" t="n">
        <v>1</v>
      </c>
      <c r="R21" s="40" t="n">
        <v>4814.19</v>
      </c>
      <c r="S21" s="41"/>
      <c r="T21" s="42"/>
      <c r="U21" s="43" t="n">
        <f aca="false">SUM(Q21)</f>
        <v>1</v>
      </c>
      <c r="V21" s="95" t="n">
        <f aca="false">SUM(R21)</f>
        <v>4814.19</v>
      </c>
      <c r="W21" s="36" t="n">
        <f aca="false">SUM(M21,Q21)</f>
        <v>1</v>
      </c>
      <c r="X21" s="45" t="n">
        <f aca="false">SUM(N21,R21)</f>
        <v>4814.19</v>
      </c>
      <c r="Y21" s="46"/>
      <c r="Z21" s="41" t="n">
        <v>1036</v>
      </c>
      <c r="AA21" s="41" t="n">
        <v>1037</v>
      </c>
      <c r="AB21" s="41" t="s">
        <v>461</v>
      </c>
    </row>
    <row r="22" customFormat="false" ht="22.35" hidden="false" customHeight="false" outlineLevel="0" collapsed="false">
      <c r="A22" s="110" t="s">
        <v>463</v>
      </c>
      <c r="B22" s="110" t="s"/>
      <c r="C22" s="80" t="s">
        <v>22</v>
      </c>
      <c r="D22" s="81"/>
      <c r="E22" s="82"/>
      <c r="F22" s="83"/>
      <c r="G22" s="50" t="s">
        <v>22</v>
      </c>
      <c r="H22" s="33"/>
      <c r="I22" s="85"/>
      <c r="J22" s="86"/>
      <c r="K22" s="87"/>
      <c r="L22" s="88"/>
      <c r="M22" s="36" t="n">
        <f aca="false">SUM(C22,I22)</f>
        <v>0</v>
      </c>
      <c r="N22" s="37" t="n">
        <f aca="false">SUM(D22,J22)</f>
        <v>0</v>
      </c>
      <c r="O22" s="89" t="s">
        <v>22</v>
      </c>
      <c r="P22" s="90"/>
      <c r="Q22" s="91"/>
      <c r="R22" s="92"/>
      <c r="S22" s="93"/>
      <c r="T22" s="94"/>
      <c r="U22" s="114"/>
      <c r="V22" s="115"/>
      <c r="W22" s="36" t="n">
        <f aca="false">SUM(M22,Q22)</f>
        <v>0</v>
      </c>
      <c r="X22" s="45" t="n">
        <f aca="false">SUM(N22,R22)</f>
        <v>0</v>
      </c>
      <c r="Y22" s="46"/>
      <c r="Z22" s="41" t="n">
        <v>1043</v>
      </c>
      <c r="AA22" s="41"/>
      <c r="AB22" s="41" t="s">
        <v>463</v>
      </c>
    </row>
    <row r="23" customFormat="false" ht="22.35" hidden="false" customHeight="false" outlineLevel="0" collapsed="false">
      <c r="A23" s="110" t="s">
        <v>464</v>
      </c>
      <c r="B23" s="110" t="s"/>
      <c r="C23" s="80" t="n">
        <v>1</v>
      </c>
      <c r="D23" s="81" t="n">
        <v>1800</v>
      </c>
      <c r="E23" s="82"/>
      <c r="F23" s="83"/>
      <c r="G23" s="50" t="s">
        <v>22</v>
      </c>
      <c r="H23" s="33"/>
      <c r="I23" s="85"/>
      <c r="J23" s="86"/>
      <c r="K23" s="87"/>
      <c r="L23" s="88"/>
      <c r="M23" s="36" t="n">
        <f aca="false">SUM(C23,I23)</f>
        <v>1</v>
      </c>
      <c r="N23" s="37" t="n">
        <f aca="false">SUM(D23,J23)</f>
        <v>1800</v>
      </c>
      <c r="O23" s="107" t="s">
        <v>465</v>
      </c>
      <c r="P23" s="90" t="s">
        <v>22</v>
      </c>
      <c r="Q23" s="91" t="n">
        <v>1</v>
      </c>
      <c r="R23" s="92" t="n">
        <v>1293.74</v>
      </c>
      <c r="S23" s="93"/>
      <c r="T23" s="94"/>
      <c r="U23" s="114"/>
      <c r="V23" s="115"/>
      <c r="W23" s="36" t="n">
        <f aca="false">SUM(M23,Q23)</f>
        <v>2</v>
      </c>
      <c r="X23" s="45" t="n">
        <f aca="false">SUM(N23,R23)</f>
        <v>3093.74</v>
      </c>
      <c r="Y23" s="46"/>
      <c r="Z23" s="41" t="n">
        <v>1049</v>
      </c>
      <c r="AA23" s="41" t="n">
        <v>1050</v>
      </c>
      <c r="AB23" s="41" t="s">
        <v>464</v>
      </c>
    </row>
    <row r="24" customFormat="false" ht="22.35" hidden="false" customHeight="false" outlineLevel="0" collapsed="false">
      <c r="A24" s="110" t="s">
        <v>466</v>
      </c>
      <c r="B24" s="110" t="s"/>
      <c r="C24" s="80" t="s">
        <v>22</v>
      </c>
      <c r="D24" s="81"/>
      <c r="E24" s="82"/>
      <c r="F24" s="83"/>
      <c r="G24" s="113" t="s">
        <v>22</v>
      </c>
      <c r="H24" s="85"/>
      <c r="I24" s="85"/>
      <c r="J24" s="86"/>
      <c r="K24" s="87"/>
      <c r="L24" s="88"/>
      <c r="M24" s="36" t="n">
        <f aca="false">SUM(C24,I24)</f>
        <v>0</v>
      </c>
      <c r="N24" s="37" t="n">
        <f aca="false">SUM(D24,J24)</f>
        <v>0</v>
      </c>
      <c r="O24" s="89" t="s">
        <v>22</v>
      </c>
      <c r="P24" s="90"/>
      <c r="Q24" s="91"/>
      <c r="R24" s="92"/>
      <c r="S24" s="93"/>
      <c r="T24" s="94"/>
      <c r="U24" s="114"/>
      <c r="V24" s="115"/>
      <c r="W24" s="36" t="n">
        <f aca="false">SUM(M24,Q24)</f>
        <v>0</v>
      </c>
      <c r="X24" s="45" t="n">
        <f aca="false">SUM(N24,R24)</f>
        <v>0</v>
      </c>
      <c r="Y24" s="46"/>
      <c r="Z24" s="41" t="n">
        <v>1056</v>
      </c>
      <c r="AA24" s="41"/>
      <c r="AB24" s="41" t="s">
        <v>466</v>
      </c>
    </row>
    <row r="25" customFormat="false" ht="22.35" hidden="false" customHeight="false" outlineLevel="0" collapsed="false">
      <c r="A25" s="110" t="s">
        <v>467</v>
      </c>
      <c r="B25" s="110" t="s"/>
      <c r="C25" s="80" t="s">
        <v>22</v>
      </c>
      <c r="D25" s="81"/>
      <c r="E25" s="82"/>
      <c r="F25" s="83"/>
      <c r="G25" s="113" t="s">
        <v>22</v>
      </c>
      <c r="H25" s="85"/>
      <c r="I25" s="85"/>
      <c r="J25" s="86"/>
      <c r="K25" s="87"/>
      <c r="L25" s="88"/>
      <c r="M25" s="36" t="n">
        <f aca="false">SUM(C25,I25)</f>
        <v>0</v>
      </c>
      <c r="N25" s="37" t="n">
        <f aca="false">SUM(D25,J25)</f>
        <v>0</v>
      </c>
      <c r="O25" s="107" t="s">
        <v>468</v>
      </c>
      <c r="P25" s="90" t="s">
        <v>22</v>
      </c>
      <c r="Q25" s="91" t="n">
        <v>1</v>
      </c>
      <c r="R25" s="92" t="n">
        <v>3400</v>
      </c>
      <c r="S25" s="93"/>
      <c r="T25" s="94"/>
      <c r="U25" s="114"/>
      <c r="V25" s="115"/>
      <c r="W25" s="36" t="n">
        <f aca="false">SUM(M25,Q25)</f>
        <v>1</v>
      </c>
      <c r="X25" s="45" t="n">
        <f aca="false">SUM(N25,R25)</f>
        <v>3400</v>
      </c>
      <c r="Y25" s="46"/>
      <c r="Z25" s="41" t="n">
        <v>1063</v>
      </c>
      <c r="AA25" s="41"/>
      <c r="AB25" s="41" t="s">
        <v>467</v>
      </c>
    </row>
    <row r="26" customFormat="false" ht="19.7" hidden="false" customHeight="false" outlineLevel="0" collapsed="false">
      <c r="A26" s="52" t="s">
        <v>23</v>
      </c>
      <c r="B26" s="52" t="s"/>
      <c r="C26" s="53" t="n">
        <f aca="false">SUM(C6:C25)</f>
        <v>1</v>
      </c>
      <c r="D26" s="54" t="n">
        <f aca="false">SUM(D6:D25)</f>
        <v>1800</v>
      </c>
      <c r="E26" s="55" t="n">
        <f aca="false">SUM(E6:E21)</f>
        <v>0</v>
      </c>
      <c r="F26" s="56" t="n">
        <f aca="false">SUM(F6:F21)</f>
        <v>0</v>
      </c>
      <c r="G26" s="57" t="s">
        <v>23</v>
      </c>
      <c r="H26" s="57"/>
      <c r="I26" s="58" t="n">
        <f aca="false">SUM(I6:I25)</f>
        <v>2</v>
      </c>
      <c r="J26" s="54" t="n">
        <f aca="false">SUM(J6:J25)</f>
        <v>45760</v>
      </c>
      <c r="K26" s="55" t="n">
        <f aca="false">SUM(K6:K21)</f>
        <v>0</v>
      </c>
      <c r="L26" s="56"/>
      <c r="M26" s="59" t="n">
        <f aca="false">SUM(M6:M25)</f>
        <v>3</v>
      </c>
      <c r="N26" s="60" t="n">
        <f aca="false">SUM(N6:N25)</f>
        <v>47560</v>
      </c>
      <c r="O26" s="57" t="s">
        <v>23</v>
      </c>
      <c r="P26" s="57"/>
      <c r="Q26" s="61" t="n">
        <f aca="false">SUM(Q6:Q25)</f>
        <v>5</v>
      </c>
      <c r="R26" s="62" t="n">
        <f aca="false">SUM(R6:R25)</f>
        <v>14707.93</v>
      </c>
      <c r="S26" s="55" t="n">
        <f aca="false">SUM(S6:S21)</f>
        <v>0</v>
      </c>
      <c r="T26" s="56" t="n">
        <f aca="false">SUM(T6:T21)</f>
        <v>0</v>
      </c>
      <c r="U26" s="101" t="n">
        <f aca="false">SUM(U6:U21)</f>
        <v>3</v>
      </c>
      <c r="V26" s="102" t="n">
        <f aca="false">SUM(V6:V21)</f>
        <v>10014.19</v>
      </c>
      <c r="W26" s="59" t="n">
        <f aca="false">SUM(W6:W25)</f>
        <v>8</v>
      </c>
      <c r="X26" s="65" t="n">
        <f aca="false">SUM(X6:X25)</f>
        <v>62267.93</v>
      </c>
      <c r="Y26" s="66"/>
      <c r="Z26" s="67"/>
      <c r="AA26" s="67"/>
      <c r="AB26" s="67"/>
    </row>
    <row r="27" customFormat="false" ht="15.75" hidden="false" customHeight="false" outlineLevel="0" collapsed="false">
      <c r="A27" s="2"/>
      <c r="B27" s="2"/>
      <c r="C27" s="2"/>
      <c r="D27" s="68"/>
      <c r="E27" s="2"/>
      <c r="F27" s="2"/>
      <c r="G27" s="2"/>
      <c r="H27" s="2"/>
      <c r="I27" s="3"/>
      <c r="J27" s="3"/>
      <c r="K27" s="2"/>
      <c r="L27" s="2"/>
      <c r="M27" s="2"/>
      <c r="N27" s="2"/>
      <c r="O27" s="2"/>
      <c r="P27" s="2"/>
      <c r="Q27" s="3"/>
      <c r="R27" s="3"/>
      <c r="S27" s="2"/>
      <c r="T27" s="2"/>
      <c r="U27" s="2"/>
      <c r="V27" s="2"/>
      <c r="W27" s="2"/>
      <c r="X27" s="2"/>
      <c r="Y27" s="69"/>
      <c r="Z27" s="2"/>
      <c r="AA27" s="2"/>
      <c r="AB27" s="2"/>
    </row>
    <row r="28" customFormat="false" ht="15.75" hidden="false" customHeight="false" outlineLevel="0" collapsed="false">
      <c r="A28" s="2"/>
      <c r="B28" s="2"/>
      <c r="C28" s="2"/>
      <c r="D28" s="3"/>
      <c r="E28" s="2"/>
      <c r="F28" s="2"/>
      <c r="G28" s="2"/>
      <c r="H28" s="2"/>
      <c r="I28" s="3"/>
      <c r="J28" s="3"/>
      <c r="K28" s="2"/>
      <c r="L28" s="2"/>
      <c r="M28" s="2"/>
      <c r="N28" s="2"/>
      <c r="O28" s="2"/>
      <c r="P28" s="2"/>
      <c r="Q28" s="3"/>
      <c r="R28" s="3"/>
      <c r="S28" s="2"/>
      <c r="T28" s="2"/>
      <c r="U28" s="2"/>
      <c r="V28" s="2"/>
      <c r="W28" s="2"/>
      <c r="X28" s="2"/>
      <c r="Y28" s="69"/>
      <c r="Z28" s="2"/>
      <c r="AA28" s="2"/>
      <c r="AB28" s="2"/>
    </row>
    <row r="29" customFormat="false" ht="15.75" hidden="false" customHeight="false" outlineLevel="0" collapsed="false">
      <c r="A29" s="2"/>
      <c r="B29" s="2"/>
      <c r="C29" s="2"/>
      <c r="D29" s="3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6:H26"/>
    <mergeCell ref="O26:P2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>
  <sheetPr filterMode="false">
    <outlinePr summaryBelow="0"/>
    <pageSetUpPr fitToPage="true"/>
  </sheetPr>
  <dimension ref="A1:AB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style="0" width="18.38" min="2" max="2"/>
    <col collapsed="false" customWidth="true" hidden="false" outlineLevel="0" max="8" min="8" style="0" width="17.88"/>
    <col collapsed="false" customWidth="true" hidden="false" outlineLevel="0" max="11" min="11" style="0" width="13.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true" outlineLevel="0" max="22" min="21" style="0" width="15"/>
    <col collapsed="false" customWidth="true" hidden="false" outlineLevel="0" max="24" min="23" style="0" width="15.75"/>
  </cols>
  <sheetData>
    <row r="1" customFormat="false" ht="26.1" hidden="false" customHeight="false" outlineLevel="0" collapsed="false">
      <c r="A1" s="1" t="s">
        <v>469</v>
      </c>
      <c r="B1" s="1" t="s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7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22.35" hidden="false" customHeight="true" outlineLevel="0" collapsed="false">
      <c r="A3" s="4" t="s">
        <v>1</v>
      </c>
      <c r="B3" s="4" t="inlineStr">
        <is>
          <t>ข้อมูลกฎหมาย</t>
        </is>
      </c>
      <c r="C3" s="5" t="s">
        <v>2</v>
      </c>
      <c r="D3" s="5"/>
      <c r="E3" s="5"/>
      <c r="F3" s="5"/>
      <c r="G3" s="6" t="s">
        <v>3</v>
      </c>
      <c r="H3" s="6"/>
      <c r="I3" s="6"/>
      <c r="J3" s="6"/>
      <c r="K3" s="6"/>
      <c r="L3" s="6"/>
      <c r="M3" s="7" t="s">
        <v>4</v>
      </c>
      <c r="N3" s="7"/>
      <c r="O3" s="8" t="s">
        <v>5</v>
      </c>
      <c r="P3" s="8"/>
      <c r="Q3" s="8"/>
      <c r="R3" s="8"/>
      <c r="S3" s="8"/>
      <c r="T3" s="8"/>
      <c r="U3" s="9" t="s">
        <v>6</v>
      </c>
      <c r="V3" s="9"/>
      <c r="W3" s="7" t="s">
        <v>7</v>
      </c>
      <c r="X3" s="7"/>
      <c r="Y3" s="10" t="s">
        <v>8</v>
      </c>
      <c r="Z3" s="74" t="s">
        <v>9</v>
      </c>
      <c r="AA3" s="75" t="s">
        <v>10</v>
      </c>
      <c r="AB3" s="13" t="s">
        <v>11</v>
      </c>
    </row>
    <row r="4" customFormat="false" ht="22.35" hidden="false" customHeight="false" outlineLevel="0" collapsed="false">
      <c r="A4" s="4"/>
      <c r="B4" s="4" t="inlineStr">
        <is>
          <t>กฎหมาย</t>
        </is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18" t="s">
        <v>16</v>
      </c>
      <c r="I4" s="19" t="s">
        <v>12</v>
      </c>
      <c r="J4" s="19" t="s">
        <v>13</v>
      </c>
      <c r="K4" s="20" t="s">
        <v>17</v>
      </c>
      <c r="L4" s="20"/>
      <c r="M4" s="21" t="s">
        <v>18</v>
      </c>
      <c r="N4" s="22" t="s">
        <v>19</v>
      </c>
      <c r="O4" s="23" t="s">
        <v>15</v>
      </c>
      <c r="P4" s="24" t="s">
        <v>16</v>
      </c>
      <c r="Q4" s="24" t="s">
        <v>12</v>
      </c>
      <c r="R4" s="24" t="s">
        <v>13</v>
      </c>
      <c r="S4" s="25" t="s">
        <v>14</v>
      </c>
      <c r="T4" s="25"/>
      <c r="U4" s="9" t="s">
        <v>18</v>
      </c>
      <c r="V4" s="26" t="s">
        <v>19</v>
      </c>
      <c r="W4" s="21" t="s">
        <v>18</v>
      </c>
      <c r="X4" s="22" t="s">
        <v>19</v>
      </c>
      <c r="Y4" s="10"/>
      <c r="Z4" s="10"/>
      <c r="AA4" s="11" t="s">
        <v>9</v>
      </c>
      <c r="AB4" s="13"/>
    </row>
    <row r="5" customFormat="false" ht="19.7" hidden="false" customHeight="false" outlineLevel="0" collapsed="false">
      <c r="A5" s="4"/>
      <c r="B5" s="4"/>
      <c r="C5" s="14"/>
      <c r="D5" s="15"/>
      <c r="E5" s="15" t="s">
        <v>20</v>
      </c>
      <c r="F5" s="16" t="s">
        <v>21</v>
      </c>
      <c r="G5" s="17"/>
      <c r="H5" s="18"/>
      <c r="I5" s="18"/>
      <c r="J5" s="18"/>
      <c r="K5" s="18" t="s">
        <v>20</v>
      </c>
      <c r="L5" s="20" t="s">
        <v>21</v>
      </c>
      <c r="M5" s="21"/>
      <c r="N5" s="22"/>
      <c r="O5" s="23"/>
      <c r="P5" s="24"/>
      <c r="Q5" s="24"/>
      <c r="R5" s="24"/>
      <c r="S5" s="24" t="s">
        <v>12</v>
      </c>
      <c r="T5" s="25" t="s">
        <v>21</v>
      </c>
      <c r="U5" s="9"/>
      <c r="V5" s="26"/>
      <c r="W5" s="21"/>
      <c r="X5" s="22"/>
      <c r="Y5" s="10"/>
      <c r="Z5" s="10"/>
      <c r="AA5" s="11"/>
      <c r="AB5" s="11"/>
    </row>
    <row r="6" customFormat="false" ht="22.35" hidden="false" customHeight="false" outlineLevel="0" collapsed="false">
      <c r="A6" s="110" t="s">
        <v>470</v>
      </c>
      <c r="B6" s="110" t="s"/>
      <c r="C6" s="28" t="s">
        <v>22</v>
      </c>
      <c r="D6" s="29"/>
      <c r="E6" s="30"/>
      <c r="F6" s="31"/>
      <c r="G6" s="77" t="s">
        <v>22</v>
      </c>
      <c r="H6" s="87"/>
      <c r="I6" s="50"/>
      <c r="J6" s="34"/>
      <c r="K6" s="33"/>
      <c r="L6" s="35"/>
      <c r="M6" s="36" t="n">
        <f aca="false">SUM(C6,I6)</f>
        <v>0</v>
      </c>
      <c r="N6" s="37" t="n">
        <f aca="false">SUM(D6,J6)</f>
        <v>0</v>
      </c>
      <c r="O6" s="73" t="s">
        <v>471</v>
      </c>
      <c r="P6" s="39" t="s">
        <v>22</v>
      </c>
      <c r="Q6" s="39" t="n">
        <v>1</v>
      </c>
      <c r="R6" s="40" t="n">
        <v>31100</v>
      </c>
      <c r="S6" s="41"/>
      <c r="T6" s="42"/>
      <c r="U6" s="43" t="n">
        <f aca="false">SUM(Q6)</f>
        <v>1</v>
      </c>
      <c r="V6" s="95" t="n">
        <f aca="false">SUM(R6)</f>
        <v>31100</v>
      </c>
      <c r="W6" s="36" t="n">
        <f aca="false">SUM(M6,Q6)</f>
        <v>1</v>
      </c>
      <c r="X6" s="45" t="n">
        <f aca="false">SUM(N6,R6)</f>
        <v>31100</v>
      </c>
      <c r="Y6" s="46"/>
      <c r="Z6" s="43" t="n">
        <v>1073</v>
      </c>
      <c r="AA6" s="41" t="n">
        <v>1074</v>
      </c>
      <c r="AB6" s="41" t="s">
        <v>470</v>
      </c>
    </row>
    <row r="7" customFormat="false" ht="22.35" hidden="false" customHeight="false" outlineLevel="0" collapsed="false">
      <c r="A7" s="110" t="s">
        <v>472</v>
      </c>
      <c r="B7" s="110" t="s"/>
      <c r="C7" s="28" t="s">
        <v>22</v>
      </c>
      <c r="D7" s="29"/>
      <c r="E7" s="30"/>
      <c r="F7" s="31"/>
      <c r="G7" s="77" t="s">
        <v>22</v>
      </c>
      <c r="H7" s="33"/>
      <c r="I7" s="50"/>
      <c r="J7" s="34"/>
      <c r="K7" s="33"/>
      <c r="L7" s="35"/>
      <c r="M7" s="36" t="n">
        <f aca="false">SUM(C7,I7)</f>
        <v>0</v>
      </c>
      <c r="N7" s="37" t="n">
        <f aca="false">SUM(D7,J7)</f>
        <v>0</v>
      </c>
      <c r="O7" s="73" t="s">
        <v>473</v>
      </c>
      <c r="P7" s="39" t="s">
        <v>22</v>
      </c>
      <c r="Q7" s="39" t="n">
        <v>1</v>
      </c>
      <c r="R7" s="40" t="n">
        <v>35460</v>
      </c>
      <c r="S7" s="41"/>
      <c r="T7" s="42"/>
      <c r="U7" s="43" t="n">
        <f aca="false">SUM(Q7)</f>
        <v>1</v>
      </c>
      <c r="V7" s="95" t="n">
        <f aca="false">SUM(R7)</f>
        <v>35460</v>
      </c>
      <c r="W7" s="36" t="n">
        <f aca="false">SUM(M7,Q7)</f>
        <v>1</v>
      </c>
      <c r="X7" s="45" t="n">
        <f aca="false">SUM(N7,R7)</f>
        <v>35460</v>
      </c>
      <c r="Y7" s="46"/>
      <c r="Z7" s="43" t="n">
        <v>1080</v>
      </c>
      <c r="AA7" s="41"/>
      <c r="AB7" s="41" t="s">
        <v>472</v>
      </c>
    </row>
    <row r="8" customFormat="false" ht="22.35" hidden="false" customHeight="false" outlineLevel="0" collapsed="false">
      <c r="A8" s="110" t="s">
        <v>474</v>
      </c>
      <c r="B8" s="110" t="s"/>
      <c r="C8" s="28" t="s">
        <v>22</v>
      </c>
      <c r="D8" s="29"/>
      <c r="E8" s="30"/>
      <c r="F8" s="31"/>
      <c r="G8" s="76" t="s">
        <v>475</v>
      </c>
      <c r="H8" s="33" t="s">
        <v>22</v>
      </c>
      <c r="I8" s="50" t="n">
        <v>1</v>
      </c>
      <c r="J8" s="34" t="n">
        <v>200</v>
      </c>
      <c r="K8" s="33"/>
      <c r="L8" s="35"/>
      <c r="M8" s="36" t="n">
        <f aca="false">SUM(C8,I8)</f>
        <v>1</v>
      </c>
      <c r="N8" s="37" t="n">
        <f aca="false">SUM(D8,J8)</f>
        <v>200</v>
      </c>
      <c r="O8" s="39" t="s">
        <v>22</v>
      </c>
      <c r="P8" s="39"/>
      <c r="Q8" s="39"/>
      <c r="R8" s="40"/>
      <c r="S8" s="41"/>
      <c r="T8" s="42"/>
      <c r="U8" s="43" t="n">
        <f aca="false">SUM(Q8)</f>
        <v>0</v>
      </c>
      <c r="V8" s="95" t="n">
        <f aca="false">SUM(R8)</f>
        <v>0</v>
      </c>
      <c r="W8" s="36" t="n">
        <f aca="false">SUM(M8,Q8)</f>
        <v>1</v>
      </c>
      <c r="X8" s="45" t="n">
        <f aca="false">SUM(N8,R8)</f>
        <v>200</v>
      </c>
      <c r="Y8" s="105"/>
      <c r="Z8" s="43" t="n">
        <v>1087</v>
      </c>
      <c r="AA8" s="41" t="n">
        <v>1088</v>
      </c>
      <c r="AB8" s="41" t="s">
        <v>474</v>
      </c>
    </row>
    <row r="9" customFormat="false" ht="22.35" hidden="false" customHeight="false" outlineLevel="0" collapsed="false">
      <c r="A9" s="110" t="s">
        <v>476</v>
      </c>
      <c r="B9" s="110" t="s"/>
      <c r="C9" s="28" t="s">
        <v>22</v>
      </c>
      <c r="D9" s="29"/>
      <c r="E9" s="30"/>
      <c r="F9" s="31"/>
      <c r="G9" s="77" t="s">
        <v>22</v>
      </c>
      <c r="H9" s="33"/>
      <c r="I9" s="50"/>
      <c r="J9" s="34"/>
      <c r="K9" s="33"/>
      <c r="L9" s="35"/>
      <c r="M9" s="36" t="n">
        <f aca="false">SUM(C9,I9)</f>
        <v>0</v>
      </c>
      <c r="N9" s="37" t="n">
        <f aca="false">SUM(D9,J9)</f>
        <v>0</v>
      </c>
      <c r="O9" s="73" t="s">
        <v>477</v>
      </c>
      <c r="P9" s="39" t="s">
        <v>22</v>
      </c>
      <c r="Q9" s="39" t="n">
        <v>1</v>
      </c>
      <c r="R9" s="40" t="n">
        <v>1184</v>
      </c>
      <c r="S9" s="41"/>
      <c r="T9" s="42"/>
      <c r="U9" s="43" t="n">
        <f aca="false">SUM(Q9)</f>
        <v>1</v>
      </c>
      <c r="V9" s="95" t="n">
        <f aca="false">SUM(R9)</f>
        <v>1184</v>
      </c>
      <c r="W9" s="36" t="n">
        <f aca="false">SUM(M9,Q9)</f>
        <v>1</v>
      </c>
      <c r="X9" s="45" t="n">
        <f aca="false">SUM(N9,R9)</f>
        <v>1184</v>
      </c>
      <c r="Y9" s="46"/>
      <c r="Z9" s="43" t="n">
        <v>1093</v>
      </c>
      <c r="AA9" s="41"/>
      <c r="AB9" s="41" t="s">
        <v>476</v>
      </c>
    </row>
    <row r="10" customFormat="false" ht="22.35" hidden="false" customHeight="false" outlineLevel="0" collapsed="false">
      <c r="A10" s="110" t="s">
        <v>478</v>
      </c>
      <c r="B10" s="110" t="s"/>
      <c r="C10" s="28" t="s">
        <v>22</v>
      </c>
      <c r="D10" s="29"/>
      <c r="E10" s="30"/>
      <c r="F10" s="31"/>
      <c r="G10" s="77" t="s">
        <v>22</v>
      </c>
      <c r="H10" s="33"/>
      <c r="I10" s="50"/>
      <c r="J10" s="34"/>
      <c r="K10" s="33"/>
      <c r="L10" s="35"/>
      <c r="M10" s="36" t="n">
        <f aca="false">SUM(C10,I10)</f>
        <v>0</v>
      </c>
      <c r="N10" s="37" t="n">
        <f aca="false">SUM(D10,J10)</f>
        <v>0</v>
      </c>
      <c r="O10" s="39" t="s">
        <v>22</v>
      </c>
      <c r="P10" s="39"/>
      <c r="Q10" s="39"/>
      <c r="R10" s="40"/>
      <c r="S10" s="41"/>
      <c r="T10" s="42"/>
      <c r="U10" s="43" t="n">
        <f aca="false">SUM(Q10)</f>
        <v>0</v>
      </c>
      <c r="V10" s="95" t="n">
        <f aca="false">SUM(R10)</f>
        <v>0</v>
      </c>
      <c r="W10" s="36" t="n">
        <f aca="false">SUM(M10,Q10)</f>
        <v>0</v>
      </c>
      <c r="X10" s="45" t="n">
        <f aca="false">SUM(N10,R10)</f>
        <v>0</v>
      </c>
      <c r="Y10" s="46"/>
      <c r="Z10" s="43" t="n">
        <v>1104</v>
      </c>
      <c r="AA10" s="41"/>
      <c r="AB10" s="41" t="s">
        <v>478</v>
      </c>
    </row>
    <row r="11" customFormat="false" ht="22.35" hidden="false" customHeight="false" outlineLevel="0" collapsed="false">
      <c r="A11" s="110" t="s">
        <v>479</v>
      </c>
      <c r="B11" s="110" t="s"/>
      <c r="C11" s="28" t="s">
        <v>22</v>
      </c>
      <c r="D11" s="29"/>
      <c r="E11" s="30"/>
      <c r="F11" s="31"/>
      <c r="G11" s="77" t="s">
        <v>22</v>
      </c>
      <c r="H11" s="33"/>
      <c r="I11" s="50"/>
      <c r="J11" s="34"/>
      <c r="K11" s="33"/>
      <c r="L11" s="35"/>
      <c r="M11" s="36" t="n">
        <f aca="false">SUM(C11,I11)</f>
        <v>0</v>
      </c>
      <c r="N11" s="37" t="n">
        <f aca="false">SUM(D11,J11)</f>
        <v>0</v>
      </c>
      <c r="O11" s="39" t="s">
        <v>22</v>
      </c>
      <c r="P11" s="39"/>
      <c r="Q11" s="39"/>
      <c r="R11" s="40"/>
      <c r="S11" s="41"/>
      <c r="T11" s="42"/>
      <c r="U11" s="43" t="n">
        <f aca="false">SUM(Q11)</f>
        <v>0</v>
      </c>
      <c r="V11" s="95" t="n">
        <f aca="false">SUM(R11)</f>
        <v>0</v>
      </c>
      <c r="W11" s="36" t="n">
        <f aca="false">SUM(M11,Q11)</f>
        <v>0</v>
      </c>
      <c r="X11" s="45" t="n">
        <f aca="false">SUM(N11,R11)</f>
        <v>0</v>
      </c>
      <c r="Y11" s="46"/>
      <c r="Z11" s="43" t="n">
        <v>1113</v>
      </c>
      <c r="AA11" s="41"/>
      <c r="AB11" s="41" t="s">
        <v>479</v>
      </c>
    </row>
    <row r="12" customFormat="false" ht="22.35" hidden="false" customHeight="false" outlineLevel="0" collapsed="false">
      <c r="A12" s="110" t="s">
        <v>480</v>
      </c>
      <c r="B12" s="110" t="s"/>
      <c r="C12" s="28" t="s">
        <v>22</v>
      </c>
      <c r="D12" s="29"/>
      <c r="E12" s="30"/>
      <c r="F12" s="31"/>
      <c r="G12" s="77" t="s">
        <v>22</v>
      </c>
      <c r="H12" s="33"/>
      <c r="I12" s="50"/>
      <c r="J12" s="34"/>
      <c r="K12" s="33"/>
      <c r="L12" s="35"/>
      <c r="M12" s="36" t="n">
        <f aca="false">SUM(C12,I12)</f>
        <v>0</v>
      </c>
      <c r="N12" s="37" t="n">
        <f aca="false">SUM(D12,J12)</f>
        <v>0</v>
      </c>
      <c r="O12" s="39" t="s">
        <v>22</v>
      </c>
      <c r="P12" s="39"/>
      <c r="Q12" s="39"/>
      <c r="R12" s="40"/>
      <c r="S12" s="41"/>
      <c r="T12" s="42"/>
      <c r="U12" s="43" t="n">
        <f aca="false">SUM(Q12)</f>
        <v>0</v>
      </c>
      <c r="V12" s="95" t="n">
        <f aca="false">SUM(R12)</f>
        <v>0</v>
      </c>
      <c r="W12" s="36" t="n">
        <f aca="false">SUM(M12,Q12)</f>
        <v>0</v>
      </c>
      <c r="X12" s="45" t="n">
        <f aca="false">SUM(N12,R12)</f>
        <v>0</v>
      </c>
      <c r="Y12" s="46"/>
      <c r="Z12" s="43" t="n">
        <v>1118</v>
      </c>
      <c r="AA12" s="41"/>
      <c r="AB12" s="41" t="s">
        <v>480</v>
      </c>
    </row>
    <row r="13" customFormat="false" ht="22.35" hidden="false" customHeight="false" outlineLevel="0" collapsed="false">
      <c r="A13" s="110" t="s">
        <v>481</v>
      </c>
      <c r="B13" s="110" t="s"/>
      <c r="C13" s="28" t="s">
        <v>22</v>
      </c>
      <c r="D13" s="29"/>
      <c r="E13" s="30"/>
      <c r="F13" s="31"/>
      <c r="G13" s="77" t="s">
        <v>22</v>
      </c>
      <c r="H13" s="33"/>
      <c r="I13" s="50"/>
      <c r="J13" s="34"/>
      <c r="K13" s="33"/>
      <c r="L13" s="35"/>
      <c r="M13" s="36" t="n">
        <f aca="false">SUM(C13,I13)</f>
        <v>0</v>
      </c>
      <c r="N13" s="37" t="n">
        <f aca="false">SUM(D13,J13)</f>
        <v>0</v>
      </c>
      <c r="O13" s="39" t="s">
        <v>22</v>
      </c>
      <c r="P13" s="39"/>
      <c r="Q13" s="39"/>
      <c r="R13" s="40"/>
      <c r="S13" s="41"/>
      <c r="T13" s="42"/>
      <c r="U13" s="43" t="n">
        <f aca="false">SUM(Q13)</f>
        <v>0</v>
      </c>
      <c r="V13" s="95" t="n">
        <f aca="false">SUM(R13)</f>
        <v>0</v>
      </c>
      <c r="W13" s="36" t="n">
        <f aca="false">SUM(M13,Q13)</f>
        <v>0</v>
      </c>
      <c r="X13" s="45" t="n">
        <f aca="false">SUM(N13,R13)</f>
        <v>0</v>
      </c>
      <c r="Y13" s="46"/>
      <c r="Z13" s="43" t="n">
        <v>1121</v>
      </c>
      <c r="AA13" s="41"/>
      <c r="AB13" s="41" t="s">
        <v>481</v>
      </c>
    </row>
    <row r="14" customFormat="false" ht="22.35" hidden="false" customHeight="false" outlineLevel="0" collapsed="false">
      <c r="A14" s="110" t="s">
        <v>482</v>
      </c>
      <c r="B14" s="110" t="s"/>
      <c r="C14" s="28" t="s">
        <v>22</v>
      </c>
      <c r="D14" s="29"/>
      <c r="E14" s="30"/>
      <c r="F14" s="31"/>
      <c r="G14" s="76" t="s">
        <v>483</v>
      </c>
      <c r="H14" s="33" t="s">
        <v>22</v>
      </c>
      <c r="I14" s="50" t="n">
        <v>1</v>
      </c>
      <c r="J14" s="34" t="n">
        <v>500</v>
      </c>
      <c r="K14" s="33"/>
      <c r="L14" s="35"/>
      <c r="M14" s="36" t="n">
        <f aca="false">SUM(C14,I14)</f>
        <v>1</v>
      </c>
      <c r="N14" s="37" t="n">
        <f aca="false">SUM(D14,J14)</f>
        <v>500</v>
      </c>
      <c r="O14" s="73" t="s">
        <v>484</v>
      </c>
      <c r="P14" s="39" t="s">
        <v>22</v>
      </c>
      <c r="Q14" s="39" t="n">
        <v>1</v>
      </c>
      <c r="R14" s="40" t="n">
        <v>1310.1</v>
      </c>
      <c r="S14" s="41"/>
      <c r="T14" s="42"/>
      <c r="U14" s="43" t="n">
        <f aca="false">SUM(Q14)</f>
        <v>1</v>
      </c>
      <c r="V14" s="95" t="n">
        <f aca="false">SUM(R14)</f>
        <v>1310.1</v>
      </c>
      <c r="W14" s="36" t="n">
        <f aca="false">SUM(M14,Q14)</f>
        <v>2</v>
      </c>
      <c r="X14" s="45" t="n">
        <f aca="false">SUM(N14,R14)</f>
        <v>1810.1</v>
      </c>
      <c r="Y14" s="46"/>
      <c r="Z14" s="43" t="n">
        <v>1126</v>
      </c>
      <c r="AA14" s="41" t="n">
        <v>1127</v>
      </c>
      <c r="AB14" s="41" t="s">
        <v>482</v>
      </c>
    </row>
    <row r="15" customFormat="false" ht="22.35" hidden="false" customHeight="false" outlineLevel="0" collapsed="false">
      <c r="A15" s="110" t="s">
        <v>485</v>
      </c>
      <c r="B15" s="110" t="s"/>
      <c r="C15" s="28" t="s">
        <v>22</v>
      </c>
      <c r="D15" s="29"/>
      <c r="E15" s="30"/>
      <c r="F15" s="31"/>
      <c r="G15" s="76" t="s">
        <v>486</v>
      </c>
      <c r="H15" s="33" t="s">
        <v>22</v>
      </c>
      <c r="I15" s="50" t="n">
        <v>1</v>
      </c>
      <c r="J15" s="34" t="n">
        <v>200</v>
      </c>
      <c r="K15" s="33"/>
      <c r="L15" s="35"/>
      <c r="M15" s="36" t="n">
        <f aca="false">SUM(C15,I15)</f>
        <v>1</v>
      </c>
      <c r="N15" s="37" t="n">
        <f aca="false">SUM(D15,J15)</f>
        <v>200</v>
      </c>
      <c r="O15" s="39" t="s">
        <v>22</v>
      </c>
      <c r="P15" s="39"/>
      <c r="Q15" s="39"/>
      <c r="R15" s="40"/>
      <c r="S15" s="41"/>
      <c r="T15" s="42"/>
      <c r="U15" s="43" t="n">
        <f aca="false">SUM(Q15)</f>
        <v>0</v>
      </c>
      <c r="V15" s="95" t="n">
        <f aca="false">SUM(R15)</f>
        <v>0</v>
      </c>
      <c r="W15" s="36" t="n">
        <f aca="false">SUM(M15,Q15)</f>
        <v>1</v>
      </c>
      <c r="X15" s="45" t="n">
        <f aca="false">SUM(N15,R15)</f>
        <v>200</v>
      </c>
      <c r="Y15" s="46"/>
      <c r="Z15" s="43" t="n">
        <v>1136</v>
      </c>
      <c r="AA15" s="41"/>
      <c r="AB15" s="41" t="s">
        <v>487</v>
      </c>
    </row>
    <row r="16" customFormat="false" ht="22.35" hidden="false" customHeight="false" outlineLevel="0" collapsed="false">
      <c r="A16" s="110" t="s">
        <v>488</v>
      </c>
      <c r="B16" s="110" t="s"/>
      <c r="C16" s="28" t="s">
        <v>22</v>
      </c>
      <c r="D16" s="29"/>
      <c r="E16" s="30"/>
      <c r="F16" s="31"/>
      <c r="G16" s="33" t="s">
        <v>22</v>
      </c>
      <c r="H16" s="33"/>
      <c r="I16" s="50"/>
      <c r="J16" s="34"/>
      <c r="K16" s="33"/>
      <c r="L16" s="35"/>
      <c r="M16" s="36" t="n">
        <f aca="false">SUM(C16,I16)</f>
        <v>0</v>
      </c>
      <c r="N16" s="37" t="n">
        <f aca="false">SUM(D16,J16)</f>
        <v>0</v>
      </c>
      <c r="O16" s="39" t="s">
        <v>22</v>
      </c>
      <c r="P16" s="39"/>
      <c r="Q16" s="39"/>
      <c r="R16" s="40"/>
      <c r="S16" s="41"/>
      <c r="T16" s="42"/>
      <c r="U16" s="43" t="n">
        <f aca="false">SUM(Q16)</f>
        <v>0</v>
      </c>
      <c r="V16" s="95" t="n">
        <f aca="false">SUM(R16)</f>
        <v>0</v>
      </c>
      <c r="W16" s="36" t="n">
        <f aca="false">SUM(M16,Q16)</f>
        <v>0</v>
      </c>
      <c r="X16" s="45" t="n">
        <f aca="false">SUM(N16,R16)</f>
        <v>0</v>
      </c>
      <c r="Y16" s="49"/>
      <c r="Z16" s="43" t="n">
        <v>1144</v>
      </c>
      <c r="AA16" s="41"/>
      <c r="AB16" s="41" t="s">
        <v>489</v>
      </c>
    </row>
    <row r="17" customFormat="false" ht="22.35" hidden="false" customHeight="false" outlineLevel="0" collapsed="false">
      <c r="A17" s="110" t="s">
        <v>490</v>
      </c>
      <c r="B17" s="110" t="s"/>
      <c r="C17" s="28" t="s">
        <v>22</v>
      </c>
      <c r="D17" s="29"/>
      <c r="E17" s="30"/>
      <c r="F17" s="31"/>
      <c r="G17" s="71" t="s">
        <v>491</v>
      </c>
      <c r="H17" s="33" t="s">
        <v>22</v>
      </c>
      <c r="I17" s="50" t="n">
        <v>1</v>
      </c>
      <c r="J17" s="34" t="n">
        <v>500</v>
      </c>
      <c r="K17" s="33"/>
      <c r="L17" s="35"/>
      <c r="M17" s="36" t="n">
        <f aca="false">SUM(C17,I17)</f>
        <v>1</v>
      </c>
      <c r="N17" s="37" t="n">
        <f aca="false">SUM(D17,J17)</f>
        <v>500</v>
      </c>
      <c r="O17" s="39" t="s">
        <v>22</v>
      </c>
      <c r="P17" s="39"/>
      <c r="Q17" s="39"/>
      <c r="R17" s="40"/>
      <c r="S17" s="41"/>
      <c r="T17" s="42"/>
      <c r="U17" s="43" t="n">
        <f aca="false">SUM(Q17)</f>
        <v>0</v>
      </c>
      <c r="V17" s="95" t="n">
        <f aca="false">SUM(R17)</f>
        <v>0</v>
      </c>
      <c r="W17" s="36" t="n">
        <f aca="false">SUM(M17,Q17)</f>
        <v>1</v>
      </c>
      <c r="X17" s="45" t="n">
        <f aca="false">SUM(N17,R17)</f>
        <v>500</v>
      </c>
      <c r="Y17" s="49"/>
      <c r="Z17" s="43" t="n">
        <v>1151</v>
      </c>
      <c r="AA17" s="41" t="n">
        <v>1152</v>
      </c>
      <c r="AB17" s="41" t="s">
        <v>492</v>
      </c>
    </row>
    <row r="18" customFormat="false" ht="22.35" hidden="false" customHeight="false" outlineLevel="0" collapsed="false">
      <c r="A18" s="110" t="s">
        <v>493</v>
      </c>
      <c r="B18" s="110" t="s"/>
      <c r="C18" s="28"/>
      <c r="D18" s="29"/>
      <c r="E18" s="30"/>
      <c r="F18" s="31"/>
      <c r="G18" s="77"/>
      <c r="H18" s="33"/>
      <c r="I18" s="50"/>
      <c r="J18" s="34"/>
      <c r="K18" s="33"/>
      <c r="L18" s="35"/>
      <c r="M18" s="36" t="n">
        <f aca="false">SUM(C18,I18)</f>
        <v>0</v>
      </c>
      <c r="N18" s="37" t="n">
        <f aca="false">SUM(D18,J18)</f>
        <v>0</v>
      </c>
      <c r="O18" s="39"/>
      <c r="P18" s="39"/>
      <c r="Q18" s="39"/>
      <c r="R18" s="40"/>
      <c r="S18" s="41"/>
      <c r="T18" s="42"/>
      <c r="U18" s="43" t="n">
        <f aca="false">SUM(Q18)</f>
        <v>0</v>
      </c>
      <c r="V18" s="95" t="n">
        <f aca="false">SUM(R18)</f>
        <v>0</v>
      </c>
      <c r="W18" s="36" t="n">
        <f aca="false">SUM(M18,Q18)</f>
        <v>0</v>
      </c>
      <c r="X18" s="45" t="n">
        <f aca="false">SUM(N18,R18)</f>
        <v>0</v>
      </c>
      <c r="Y18" s="119"/>
      <c r="Z18" s="43"/>
      <c r="AA18" s="41"/>
      <c r="AB18" s="41"/>
    </row>
    <row r="19" customFormat="false" ht="19.7" hidden="false" customHeight="false" outlineLevel="0" collapsed="false">
      <c r="A19" s="110"/>
      <c r="B19" s="110"/>
      <c r="C19" s="28"/>
      <c r="D19" s="29"/>
      <c r="E19" s="30"/>
      <c r="F19" s="31"/>
      <c r="G19" s="77"/>
      <c r="H19" s="33"/>
      <c r="I19" s="50"/>
      <c r="J19" s="34"/>
      <c r="K19" s="33"/>
      <c r="L19" s="35"/>
      <c r="M19" s="36" t="n">
        <f aca="false">SUM(C19,I19)</f>
        <v>0</v>
      </c>
      <c r="N19" s="37" t="n">
        <f aca="false">SUM(D19,J19)</f>
        <v>0</v>
      </c>
      <c r="O19" s="39"/>
      <c r="P19" s="39"/>
      <c r="Q19" s="39"/>
      <c r="R19" s="40"/>
      <c r="S19" s="41"/>
      <c r="T19" s="42"/>
      <c r="U19" s="43" t="n">
        <f aca="false">SUM(Q19)</f>
        <v>0</v>
      </c>
      <c r="V19" s="95" t="n">
        <f aca="false">SUM(R19)</f>
        <v>0</v>
      </c>
      <c r="W19" s="36" t="n">
        <f aca="false">SUM(M19,Q19)</f>
        <v>0</v>
      </c>
      <c r="X19" s="45" t="n">
        <f aca="false">SUM(N19,R19)</f>
        <v>0</v>
      </c>
      <c r="Y19" s="46"/>
      <c r="Z19" s="43"/>
      <c r="AA19" s="41"/>
      <c r="AB19" s="41"/>
    </row>
    <row r="20" customFormat="false" ht="19.7" hidden="false" customHeight="false" outlineLevel="0" collapsed="false">
      <c r="A20" s="110"/>
      <c r="B20" s="110"/>
      <c r="C20" s="28"/>
      <c r="D20" s="29"/>
      <c r="E20" s="30"/>
      <c r="F20" s="31"/>
      <c r="G20" s="77"/>
      <c r="H20" s="33"/>
      <c r="I20" s="50"/>
      <c r="J20" s="34"/>
      <c r="K20" s="33"/>
      <c r="L20" s="35"/>
      <c r="M20" s="36" t="n">
        <f aca="false">SUM(C20,I20)</f>
        <v>0</v>
      </c>
      <c r="N20" s="37" t="n">
        <f aca="false">SUM(D20,J20)</f>
        <v>0</v>
      </c>
      <c r="O20" s="39"/>
      <c r="P20" s="39"/>
      <c r="Q20" s="39"/>
      <c r="R20" s="40"/>
      <c r="S20" s="41"/>
      <c r="T20" s="42"/>
      <c r="U20" s="43" t="n">
        <f aca="false">SUM(Q20)</f>
        <v>0</v>
      </c>
      <c r="V20" s="95" t="n">
        <f aca="false">SUM(R20)</f>
        <v>0</v>
      </c>
      <c r="W20" s="36" t="n">
        <f aca="false">SUM(M20,Q20)</f>
        <v>0</v>
      </c>
      <c r="X20" s="45" t="n">
        <f aca="false">SUM(N20,R20)</f>
        <v>0</v>
      </c>
      <c r="Y20" s="46"/>
      <c r="Z20" s="43"/>
      <c r="AA20" s="41"/>
      <c r="AB20" s="41"/>
    </row>
    <row r="21" customFormat="false" ht="19.7" hidden="false" customHeight="false" outlineLevel="0" collapsed="false">
      <c r="A21" s="110"/>
      <c r="B21" s="110"/>
      <c r="C21" s="28"/>
      <c r="D21" s="29"/>
      <c r="E21" s="30"/>
      <c r="F21" s="31"/>
      <c r="G21" s="77"/>
      <c r="H21" s="33"/>
      <c r="I21" s="50"/>
      <c r="J21" s="34"/>
      <c r="K21" s="33"/>
      <c r="L21" s="35"/>
      <c r="M21" s="36" t="n">
        <f aca="false">SUM(C21,I21)</f>
        <v>0</v>
      </c>
      <c r="N21" s="37" t="n">
        <f aca="false">SUM(D21,J21)</f>
        <v>0</v>
      </c>
      <c r="O21" s="38"/>
      <c r="P21" s="39"/>
      <c r="Q21" s="39"/>
      <c r="R21" s="40"/>
      <c r="S21" s="41"/>
      <c r="T21" s="42"/>
      <c r="U21" s="43" t="n">
        <f aca="false">SUM(Q21)</f>
        <v>0</v>
      </c>
      <c r="V21" s="95" t="n">
        <f aca="false">SUM(R21)</f>
        <v>0</v>
      </c>
      <c r="W21" s="36" t="n">
        <f aca="false">SUM(M21,Q21)</f>
        <v>0</v>
      </c>
      <c r="X21" s="45" t="n">
        <f aca="false">SUM(N21,R21)</f>
        <v>0</v>
      </c>
      <c r="Y21" s="46"/>
      <c r="Z21" s="43"/>
      <c r="AA21" s="41"/>
      <c r="AB21" s="41"/>
    </row>
    <row r="22" customFormat="false" ht="19.7" hidden="false" customHeight="false" outlineLevel="0" collapsed="false">
      <c r="A22" s="110"/>
      <c r="B22" s="110"/>
      <c r="C22" s="80"/>
      <c r="D22" s="81"/>
      <c r="E22" s="82"/>
      <c r="F22" s="83"/>
      <c r="G22" s="50"/>
      <c r="H22" s="33"/>
      <c r="I22" s="85"/>
      <c r="J22" s="86"/>
      <c r="K22" s="87"/>
      <c r="L22" s="88"/>
      <c r="M22" s="36" t="n">
        <f aca="false">SUM(C22,I22)</f>
        <v>0</v>
      </c>
      <c r="N22" s="37" t="n">
        <f aca="false">SUM(D22,J22)</f>
        <v>0</v>
      </c>
      <c r="O22" s="89"/>
      <c r="P22" s="90"/>
      <c r="Q22" s="91"/>
      <c r="R22" s="92"/>
      <c r="S22" s="93"/>
      <c r="T22" s="94"/>
      <c r="U22" s="114"/>
      <c r="V22" s="115"/>
      <c r="W22" s="36" t="n">
        <f aca="false">SUM(M22,Q22)</f>
        <v>0</v>
      </c>
      <c r="X22" s="45" t="n">
        <f aca="false">SUM(N22,R22)</f>
        <v>0</v>
      </c>
      <c r="Y22" s="46"/>
      <c r="Z22" s="43"/>
      <c r="AA22" s="41"/>
      <c r="AB22" s="41"/>
    </row>
    <row r="23" customFormat="false" ht="19.7" hidden="false" customHeight="false" outlineLevel="0" collapsed="false">
      <c r="A23" s="110"/>
      <c r="B23" s="110"/>
      <c r="C23" s="80"/>
      <c r="D23" s="81"/>
      <c r="E23" s="82"/>
      <c r="F23" s="83"/>
      <c r="G23" s="50"/>
      <c r="H23" s="33"/>
      <c r="I23" s="85"/>
      <c r="J23" s="86"/>
      <c r="K23" s="87"/>
      <c r="L23" s="88"/>
      <c r="M23" s="36" t="n">
        <f aca="false">SUM(C23,I23)</f>
        <v>0</v>
      </c>
      <c r="N23" s="37" t="n">
        <f aca="false">SUM(D23,J23)</f>
        <v>0</v>
      </c>
      <c r="O23" s="89"/>
      <c r="P23" s="90"/>
      <c r="Q23" s="91"/>
      <c r="R23" s="92"/>
      <c r="S23" s="93"/>
      <c r="T23" s="94"/>
      <c r="U23" s="114"/>
      <c r="V23" s="115"/>
      <c r="W23" s="36" t="n">
        <f aca="false">SUM(M23,Q23)</f>
        <v>0</v>
      </c>
      <c r="X23" s="45" t="n">
        <f aca="false">SUM(N23,R23)</f>
        <v>0</v>
      </c>
      <c r="Y23" s="46"/>
      <c r="Z23" s="43"/>
      <c r="AA23" s="41"/>
      <c r="AB23" s="41"/>
    </row>
    <row r="24" customFormat="false" ht="19.7" hidden="false" customHeight="false" outlineLevel="0" collapsed="false">
      <c r="A24" s="110"/>
      <c r="B24" s="110"/>
      <c r="C24" s="80"/>
      <c r="D24" s="81"/>
      <c r="E24" s="82"/>
      <c r="F24" s="83"/>
      <c r="G24" s="113"/>
      <c r="H24" s="85"/>
      <c r="I24" s="85"/>
      <c r="J24" s="86"/>
      <c r="K24" s="87"/>
      <c r="L24" s="88"/>
      <c r="M24" s="36" t="n">
        <f aca="false">SUM(C24,I24)</f>
        <v>0</v>
      </c>
      <c r="N24" s="37" t="n">
        <f aca="false">SUM(D24,J24)</f>
        <v>0</v>
      </c>
      <c r="O24" s="89"/>
      <c r="P24" s="90"/>
      <c r="Q24" s="91"/>
      <c r="R24" s="92"/>
      <c r="S24" s="93"/>
      <c r="T24" s="94"/>
      <c r="U24" s="114"/>
      <c r="V24" s="115"/>
      <c r="W24" s="36" t="n">
        <f aca="false">SUM(M24,Q24)</f>
        <v>0</v>
      </c>
      <c r="X24" s="45" t="n">
        <f aca="false">SUM(N24,R24)</f>
        <v>0</v>
      </c>
      <c r="Y24" s="46"/>
      <c r="Z24" s="43"/>
      <c r="AA24" s="41"/>
      <c r="AB24" s="41"/>
    </row>
    <row r="25" customFormat="false" ht="19.7" hidden="false" customHeight="false" outlineLevel="0" collapsed="false">
      <c r="A25" s="110"/>
      <c r="B25" s="110"/>
      <c r="C25" s="80"/>
      <c r="D25" s="81"/>
      <c r="E25" s="82"/>
      <c r="F25" s="83"/>
      <c r="G25" s="113"/>
      <c r="H25" s="85"/>
      <c r="I25" s="85"/>
      <c r="J25" s="86"/>
      <c r="K25" s="87"/>
      <c r="L25" s="88"/>
      <c r="M25" s="36" t="n">
        <f aca="false">SUM(C25,I25)</f>
        <v>0</v>
      </c>
      <c r="N25" s="37" t="n">
        <f aca="false">SUM(D25,J25)</f>
        <v>0</v>
      </c>
      <c r="O25" s="89"/>
      <c r="P25" s="90"/>
      <c r="Q25" s="91"/>
      <c r="R25" s="92"/>
      <c r="S25" s="93"/>
      <c r="T25" s="94"/>
      <c r="U25" s="114"/>
      <c r="V25" s="115"/>
      <c r="W25" s="36" t="n">
        <f aca="false">SUM(M25,Q25)</f>
        <v>0</v>
      </c>
      <c r="X25" s="45" t="n">
        <f aca="false">SUM(N25,R25)</f>
        <v>0</v>
      </c>
      <c r="Y25" s="46"/>
      <c r="Z25" s="43"/>
      <c r="AA25" s="41"/>
      <c r="AB25" s="41"/>
    </row>
    <row r="26" customFormat="false" ht="19.7" hidden="false" customHeight="false" outlineLevel="0" collapsed="false">
      <c r="A26" s="110"/>
      <c r="B26" s="110"/>
      <c r="C26" s="80"/>
      <c r="D26" s="81"/>
      <c r="E26" s="82"/>
      <c r="F26" s="83"/>
      <c r="G26" s="113"/>
      <c r="H26" s="85"/>
      <c r="I26" s="85"/>
      <c r="J26" s="86"/>
      <c r="K26" s="87"/>
      <c r="L26" s="88"/>
      <c r="M26" s="36" t="n">
        <f aca="false">SUM(C26,I26)</f>
        <v>0</v>
      </c>
      <c r="N26" s="37" t="n">
        <f aca="false">SUM(D26,J26)</f>
        <v>0</v>
      </c>
      <c r="O26" s="89"/>
      <c r="P26" s="90"/>
      <c r="Q26" s="91"/>
      <c r="R26" s="92"/>
      <c r="S26" s="93"/>
      <c r="T26" s="94"/>
      <c r="U26" s="114"/>
      <c r="V26" s="115"/>
      <c r="W26" s="36" t="n">
        <f aca="false">SUM(M26,Q26)</f>
        <v>0</v>
      </c>
      <c r="X26" s="45" t="n">
        <f aca="false">SUM(N26,R26)</f>
        <v>0</v>
      </c>
      <c r="Y26" s="46"/>
      <c r="Z26" s="43"/>
      <c r="AA26" s="41"/>
      <c r="AB26" s="41"/>
    </row>
    <row r="27" customFormat="false" ht="19.7" hidden="false" customHeight="false" outlineLevel="0" collapsed="false">
      <c r="A27" s="110"/>
      <c r="B27" s="110"/>
      <c r="C27" s="80"/>
      <c r="D27" s="81"/>
      <c r="E27" s="82"/>
      <c r="F27" s="83"/>
      <c r="G27" s="113"/>
      <c r="H27" s="85"/>
      <c r="I27" s="85"/>
      <c r="J27" s="86"/>
      <c r="K27" s="87"/>
      <c r="L27" s="88"/>
      <c r="M27" s="36" t="n">
        <f aca="false">SUM(C27,I27)</f>
        <v>0</v>
      </c>
      <c r="N27" s="37" t="n">
        <f aca="false">SUM(D27,J27)</f>
        <v>0</v>
      </c>
      <c r="O27" s="89"/>
      <c r="P27" s="90"/>
      <c r="Q27" s="91"/>
      <c r="R27" s="92"/>
      <c r="S27" s="93"/>
      <c r="T27" s="94"/>
      <c r="U27" s="114"/>
      <c r="V27" s="115"/>
      <c r="W27" s="36" t="n">
        <f aca="false">SUM(M27,Q27)</f>
        <v>0</v>
      </c>
      <c r="X27" s="45" t="n">
        <f aca="false">SUM(N27,R27)</f>
        <v>0</v>
      </c>
      <c r="Y27" s="46"/>
      <c r="Z27" s="43"/>
      <c r="AA27" s="41"/>
      <c r="AB27" s="41"/>
    </row>
    <row r="28" customFormat="false" ht="19.7" hidden="false" customHeight="false" outlineLevel="0" collapsed="false">
      <c r="A28" s="52" t="s">
        <v>23</v>
      </c>
      <c r="B28" s="52" t="s"/>
      <c r="C28" s="53" t="n">
        <f aca="false">SUM(C6:C27)</f>
        <v>0</v>
      </c>
      <c r="D28" s="54" t="n">
        <f aca="false">SUM(D6:D27)</f>
        <v>0</v>
      </c>
      <c r="E28" s="55" t="n">
        <f aca="false">SUM(E6:E21)</f>
        <v>0</v>
      </c>
      <c r="F28" s="56" t="n">
        <f aca="false">SUM(F6:F21)</f>
        <v>0</v>
      </c>
      <c r="G28" s="57" t="s">
        <v>23</v>
      </c>
      <c r="H28" s="57"/>
      <c r="I28" s="58" t="n">
        <f aca="false">SUM(I6:I27)</f>
        <v>4</v>
      </c>
      <c r="J28" s="54" t="n">
        <f aca="false">SUM(J6:J27)</f>
        <v>1400</v>
      </c>
      <c r="K28" s="55" t="n">
        <f aca="false">SUM(K6:K21)</f>
        <v>0</v>
      </c>
      <c r="L28" s="56"/>
      <c r="M28" s="59" t="n">
        <f aca="false">SUM(M6:M27)</f>
        <v>4</v>
      </c>
      <c r="N28" s="60" t="n">
        <f aca="false">SUM(N6:N27)</f>
        <v>1400</v>
      </c>
      <c r="O28" s="57" t="s">
        <v>23</v>
      </c>
      <c r="P28" s="57"/>
      <c r="Q28" s="61" t="n">
        <f aca="false">SUM(Q6:Q27)</f>
        <v>4</v>
      </c>
      <c r="R28" s="62" t="n">
        <f aca="false">SUM(R6:R27)</f>
        <v>69054.1</v>
      </c>
      <c r="S28" s="55" t="n">
        <f aca="false">SUM(S6:S21)</f>
        <v>0</v>
      </c>
      <c r="T28" s="56" t="n">
        <f aca="false">SUM(T6:T21)</f>
        <v>0</v>
      </c>
      <c r="U28" s="101" t="n">
        <f aca="false">SUM(U6:U21)</f>
        <v>4</v>
      </c>
      <c r="V28" s="102" t="n">
        <f aca="false">SUM(V6:V21)</f>
        <v>69054.1</v>
      </c>
      <c r="W28" s="59" t="n">
        <f aca="false">SUM(W6:W27)</f>
        <v>8</v>
      </c>
      <c r="X28" s="65" t="n">
        <f aca="false">SUM(X6:X27)</f>
        <v>70454.1</v>
      </c>
      <c r="Y28" s="66"/>
      <c r="Z28" s="67"/>
      <c r="AA28" s="67"/>
      <c r="AB28" s="67"/>
    </row>
    <row r="29" customFormat="false" ht="15.75" hidden="false" customHeight="false" outlineLevel="0" collapsed="false">
      <c r="A29" s="2"/>
      <c r="B29" s="2"/>
      <c r="C29" s="2"/>
      <c r="D29" s="68"/>
      <c r="E29" s="2"/>
      <c r="F29" s="2"/>
      <c r="G29" s="2"/>
      <c r="H29" s="2"/>
      <c r="I29" s="3"/>
      <c r="J29" s="3"/>
      <c r="K29" s="2"/>
      <c r="L29" s="2"/>
      <c r="M29" s="2"/>
      <c r="N29" s="2"/>
      <c r="O29" s="2"/>
      <c r="P29" s="2"/>
      <c r="Q29" s="3"/>
      <c r="R29" s="3"/>
      <c r="S29" s="2"/>
      <c r="T29" s="2"/>
      <c r="U29" s="2"/>
      <c r="V29" s="2"/>
      <c r="W29" s="2"/>
      <c r="X29" s="2"/>
      <c r="Y29" s="69"/>
      <c r="Z29" s="2"/>
      <c r="AA29" s="2"/>
      <c r="AB29" s="2"/>
    </row>
    <row r="30" customFormat="false" ht="15.75" hidden="false" customHeight="false" outlineLevel="0" collapsed="false">
      <c r="A30" s="2"/>
      <c r="B30" s="2"/>
      <c r="C30" s="2"/>
      <c r="D30" s="3"/>
      <c r="E30" s="2"/>
      <c r="F30" s="2"/>
      <c r="G30" s="2"/>
      <c r="H30" s="2"/>
      <c r="I30" s="3"/>
      <c r="J30" s="3"/>
      <c r="K30" s="2"/>
      <c r="L30" s="2"/>
      <c r="M30" s="2"/>
      <c r="N30" s="2"/>
      <c r="O30" s="2"/>
      <c r="P30" s="2"/>
      <c r="Q30" s="3"/>
      <c r="R30" s="3"/>
      <c r="S30" s="2"/>
      <c r="T30" s="2"/>
      <c r="U30" s="2"/>
      <c r="V30" s="2"/>
      <c r="W30" s="2"/>
      <c r="X30" s="2"/>
      <c r="Y30" s="69"/>
      <c r="Z30" s="2"/>
      <c r="AA30" s="2"/>
      <c r="AB30" s="2"/>
    </row>
    <row r="31" customFormat="false" ht="15.75" hidden="false" customHeight="false" outlineLevel="0" collapsed="false">
      <c r="A31" s="2"/>
      <c r="B31" s="2"/>
      <c r="C31" s="2"/>
      <c r="D31" s="3"/>
      <c r="E31" s="2"/>
      <c r="F31" s="2"/>
      <c r="G31" s="2"/>
      <c r="H31" s="2"/>
      <c r="I31" s="3"/>
      <c r="J31" s="3"/>
      <c r="K31" s="2"/>
      <c r="L31" s="2"/>
      <c r="M31" s="2"/>
      <c r="N31" s="2"/>
      <c r="O31" s="2"/>
      <c r="P31" s="2"/>
      <c r="Q31" s="3"/>
      <c r="R31" s="3"/>
      <c r="S31" s="2"/>
      <c r="T31" s="2"/>
      <c r="U31" s="2"/>
      <c r="V31" s="2"/>
      <c r="W31" s="2"/>
      <c r="X31" s="2"/>
      <c r="Y31" s="69"/>
      <c r="Z31" s="2"/>
      <c r="AA31" s="2"/>
      <c r="AB31" s="2"/>
    </row>
    <row r="32" customFormat="false" ht="15.75" hidden="false" customHeight="false" outlineLevel="0" collapsed="false">
      <c r="A32" s="2"/>
      <c r="B32" s="2"/>
      <c r="C32" s="2"/>
      <c r="D32" s="3"/>
      <c r="E32" s="2"/>
      <c r="F32" s="2"/>
      <c r="G32" s="2"/>
      <c r="H32" s="2"/>
      <c r="I32" s="3"/>
      <c r="J32" s="3"/>
      <c r="K32" s="2"/>
      <c r="L32" s="2"/>
      <c r="M32" s="2"/>
      <c r="N32" s="2"/>
      <c r="O32" s="2"/>
      <c r="P32" s="2"/>
      <c r="Q32" s="3"/>
      <c r="R32" s="3"/>
      <c r="S32" s="2"/>
      <c r="T32" s="2"/>
      <c r="U32" s="2"/>
      <c r="V32" s="2"/>
      <c r="W32" s="2"/>
      <c r="X32" s="2"/>
      <c r="Y32" s="69"/>
      <c r="Z32" s="2"/>
      <c r="AA32" s="2"/>
      <c r="AB32" s="2"/>
    </row>
    <row r="33" customFormat="false" ht="15.75" hidden="false" customHeight="false" outlineLevel="0" collapsed="false">
      <c r="A33" s="2"/>
      <c r="B33" s="2"/>
      <c r="C33" s="2"/>
      <c r="D33" s="3"/>
      <c r="E33" s="2"/>
      <c r="F33" s="2"/>
      <c r="G33" s="2"/>
      <c r="H33" s="2"/>
      <c r="I33" s="3"/>
      <c r="J33" s="3"/>
      <c r="K33" s="2"/>
      <c r="L33" s="2"/>
      <c r="M33" s="2"/>
      <c r="N33" s="2"/>
      <c r="O33" s="2"/>
      <c r="P33" s="2"/>
      <c r="Q33" s="3"/>
      <c r="R33" s="3"/>
      <c r="S33" s="2"/>
      <c r="T33" s="2"/>
      <c r="U33" s="2"/>
      <c r="V33" s="2"/>
      <c r="W33" s="2"/>
      <c r="X33" s="2"/>
      <c r="Y33" s="69"/>
      <c r="Z33" s="2"/>
      <c r="AA33" s="2"/>
      <c r="AB33" s="2"/>
    </row>
    <row r="34" customFormat="false" ht="15.75" hidden="false" customHeight="false" outlineLevel="0" collapsed="false">
      <c r="A34" s="2"/>
      <c r="B34" s="2"/>
      <c r="C34" s="2"/>
      <c r="D34" s="3"/>
      <c r="E34" s="2"/>
      <c r="F34" s="2"/>
      <c r="G34" s="2"/>
      <c r="H34" s="2"/>
      <c r="I34" s="3"/>
      <c r="J34" s="3"/>
      <c r="K34" s="2"/>
      <c r="L34" s="2"/>
      <c r="M34" s="2"/>
      <c r="N34" s="2"/>
      <c r="O34" s="2"/>
      <c r="P34" s="2"/>
      <c r="Q34" s="3"/>
      <c r="R34" s="3"/>
      <c r="S34" s="2"/>
      <c r="T34" s="2"/>
      <c r="U34" s="2"/>
      <c r="V34" s="2"/>
      <c r="W34" s="2"/>
      <c r="X34" s="2"/>
      <c r="Y34" s="69"/>
      <c r="Z34" s="2"/>
      <c r="AA34" s="2"/>
      <c r="AB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3"/>
      <c r="J35" s="3"/>
      <c r="K35" s="2"/>
      <c r="L35" s="2"/>
      <c r="M35" s="2"/>
      <c r="N35" s="2"/>
      <c r="O35" s="2"/>
      <c r="P35" s="2"/>
      <c r="Q35" s="3"/>
      <c r="R35" s="3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  <c r="O36" s="2"/>
      <c r="P36" s="2"/>
      <c r="Q36" s="3"/>
      <c r="R36" s="3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3"/>
      <c r="J37" s="3"/>
      <c r="K37" s="2"/>
      <c r="L37" s="2"/>
      <c r="M37" s="2"/>
      <c r="N37" s="2"/>
      <c r="O37" s="2"/>
      <c r="P37" s="2"/>
      <c r="Q37" s="3"/>
      <c r="R37" s="3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  <c r="O38" s="2"/>
      <c r="P38" s="2"/>
      <c r="Q38" s="3"/>
      <c r="R38" s="3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3"/>
      <c r="J39" s="3"/>
      <c r="K39" s="2"/>
      <c r="L39" s="2"/>
      <c r="M39" s="2"/>
      <c r="N39" s="2"/>
      <c r="O39" s="2"/>
      <c r="P39" s="2"/>
      <c r="Q39" s="3"/>
      <c r="R39" s="3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  <c r="O40" s="2"/>
      <c r="P40" s="2"/>
      <c r="Q40" s="3"/>
      <c r="R40" s="3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3"/>
      <c r="J41" s="3"/>
      <c r="K41" s="2"/>
      <c r="L41" s="2"/>
      <c r="M41" s="2"/>
      <c r="N41" s="2"/>
      <c r="O41" s="2"/>
      <c r="P41" s="2"/>
      <c r="Q41" s="3"/>
      <c r="R41" s="3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  <c r="O42" s="2"/>
      <c r="P42" s="2"/>
      <c r="Q42" s="3"/>
      <c r="R42" s="3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2"/>
      <c r="Q43" s="3"/>
      <c r="R43" s="3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  <c r="O44" s="2"/>
      <c r="P44" s="2"/>
      <c r="Q44" s="3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2"/>
      <c r="L45" s="2"/>
      <c r="M45" s="2"/>
      <c r="N45" s="2"/>
      <c r="O45" s="2"/>
      <c r="P45" s="2"/>
      <c r="Q45" s="3"/>
      <c r="R45" s="3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  <c r="O46" s="2"/>
      <c r="P46" s="2"/>
      <c r="Q46" s="3"/>
      <c r="R46" s="3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2"/>
      <c r="L47" s="2"/>
      <c r="M47" s="2"/>
      <c r="N47" s="2"/>
      <c r="O47" s="2"/>
      <c r="P47" s="2"/>
      <c r="Q47" s="3"/>
      <c r="R47" s="3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  <c r="O48" s="2"/>
      <c r="P48" s="2"/>
      <c r="Q48" s="3"/>
      <c r="R48" s="3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2"/>
      <c r="L49" s="2"/>
      <c r="M49" s="2"/>
      <c r="N49" s="2"/>
      <c r="O49" s="2"/>
      <c r="P49" s="2"/>
      <c r="Q49" s="3"/>
      <c r="R49" s="3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Format="false" ht="15.75" hidden="false" customHeight="false" outlineLevel="0" collapsed="false">
      <c r="B998" s="2"/>
      <c r="C998" s="2"/>
      <c r="D998" s="2"/>
      <c r="E998" s="2"/>
      <c r="F998" s="2"/>
      <c r="G998" s="2"/>
      <c r="H998" s="2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customFormat="false" ht="15.75" hidden="false" customHeight="false" outlineLevel="0" collapsed="false">
      <c r="B999" s="2"/>
      <c r="C999" s="2"/>
      <c r="D999" s="2"/>
      <c r="E999" s="2"/>
      <c r="F999" s="2"/>
      <c r="G999" s="2"/>
      <c r="H999" s="2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33">
    <mergeCell ref="A1:AB1"/>
    <mergeCell ref="A3:A5"/>
    <mergeCell ref="C3:F3"/>
    <mergeCell ref="G3:L3"/>
    <mergeCell ref="M3:N3"/>
    <mergeCell ref="O3:T3"/>
    <mergeCell ref="U3:V3"/>
    <mergeCell ref="W3:X3"/>
    <mergeCell ref="Y3:Y5"/>
    <mergeCell ref="Z3:Z5"/>
    <mergeCell ref="AB3:AB5"/>
    <mergeCell ref="C4:C5"/>
    <mergeCell ref="D4:D5"/>
    <mergeCell ref="E4:F4"/>
    <mergeCell ref="G4:G5"/>
    <mergeCell ref="H4:H5"/>
    <mergeCell ref="I4:I5"/>
    <mergeCell ref="J4:J5"/>
    <mergeCell ref="K4:L4"/>
    <mergeCell ref="M4:M5"/>
    <mergeCell ref="N4:N5"/>
    <mergeCell ref="O4:O5"/>
    <mergeCell ref="P4:P5"/>
    <mergeCell ref="Q4:Q5"/>
    <mergeCell ref="R4:R5"/>
    <mergeCell ref="S4:T4"/>
    <mergeCell ref="U4:U5"/>
    <mergeCell ref="V4:V5"/>
    <mergeCell ref="W4:W5"/>
    <mergeCell ref="X4:X5"/>
    <mergeCell ref="AA4:AA5"/>
    <mergeCell ref="G28:H28"/>
    <mergeCell ref="O28:P2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7" min="7" style="0" width="14.25"/>
  </cols>
  <sheetData>
    <row r="1" customFormat="false" ht="35.05" hidden="false" customHeight="false" outlineLevel="0" collapsed="false">
      <c r="A1" s="120" t="s">
        <v>494</v>
      </c>
      <c r="B1" s="120"/>
      <c r="C1" s="120"/>
      <c r="D1" s="120"/>
      <c r="E1" s="120"/>
      <c r="F1" s="120"/>
      <c r="G1" s="120"/>
      <c r="H1" s="120"/>
      <c r="I1" s="120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customFormat="false" ht="15.75" hidden="false" customHeight="false" outlineLevel="0" collapsed="false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customFormat="false" ht="22.35" hidden="false" customHeight="false" outlineLevel="0" collapsed="false">
      <c r="A3" s="122" t="s">
        <v>495</v>
      </c>
      <c r="B3" s="123" t="s">
        <v>2</v>
      </c>
      <c r="C3" s="123"/>
      <c r="D3" s="124" t="s">
        <v>496</v>
      </c>
      <c r="E3" s="124"/>
      <c r="F3" s="125" t="s">
        <v>5</v>
      </c>
      <c r="G3" s="125"/>
      <c r="H3" s="126" t="s">
        <v>497</v>
      </c>
      <c r="I3" s="126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customFormat="false" ht="19.7" hidden="false" customHeight="false" outlineLevel="0" collapsed="false">
      <c r="A4" s="122"/>
      <c r="B4" s="123" t="s">
        <v>12</v>
      </c>
      <c r="C4" s="123" t="s">
        <v>13</v>
      </c>
      <c r="D4" s="124" t="s">
        <v>12</v>
      </c>
      <c r="E4" s="124" t="s">
        <v>13</v>
      </c>
      <c r="F4" s="125" t="s">
        <v>12</v>
      </c>
      <c r="G4" s="125" t="s">
        <v>13</v>
      </c>
      <c r="H4" s="127" t="s">
        <v>12</v>
      </c>
      <c r="I4" s="127" t="s">
        <v>13</v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customFormat="false" ht="22.35" hidden="false" customHeight="false" outlineLevel="0" collapsed="false">
      <c r="A5" s="128" t="s">
        <v>498</v>
      </c>
      <c r="B5" s="129" t="n">
        <f aca="false">'ต.ค.68'!B27</f>
        <v>13</v>
      </c>
      <c r="C5" s="130" t="n">
        <f aca="false">'ต.ค.68'!C27</f>
        <v>3400</v>
      </c>
      <c r="D5" s="131" t="n">
        <f aca="false">'ต.ค.68'!H27</f>
        <v>16</v>
      </c>
      <c r="E5" s="130" t="n">
        <f aca="false">'ต.ค.68'!I27</f>
        <v>10500</v>
      </c>
      <c r="F5" s="132" t="n">
        <f aca="false">'ต.ค.68'!P27</f>
        <v>4</v>
      </c>
      <c r="G5" s="130" t="n">
        <f aca="false">'ต.ค.68'!Q27</f>
        <v>70200</v>
      </c>
      <c r="H5" s="133" t="n">
        <f aca="false">SUM(B5,D5,F5)</f>
        <v>33</v>
      </c>
      <c r="I5" s="134" t="n">
        <f aca="false">SUM(C5,E5,G5)</f>
        <v>84100</v>
      </c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customFormat="false" ht="22.35" hidden="false" customHeight="false" outlineLevel="0" collapsed="false">
      <c r="A6" s="128" t="s">
        <v>499</v>
      </c>
      <c r="B6" s="129" t="n">
        <f aca="false">'พ.ย.68'!B26</f>
        <v>1453</v>
      </c>
      <c r="C6" s="130" t="n">
        <f aca="false">'พ.ย.68'!C26</f>
        <v>7602620</v>
      </c>
      <c r="D6" s="131" t="n">
        <f aca="false">'พ.ย.68'!H26</f>
        <v>16</v>
      </c>
      <c r="E6" s="130" t="n">
        <f aca="false">'พ.ย.68'!I26</f>
        <v>12300</v>
      </c>
      <c r="F6" s="132" t="n">
        <f aca="false">'พ.ย.68'!P26</f>
        <v>3</v>
      </c>
      <c r="G6" s="130" t="n">
        <f aca="false">'พ.ย.68'!Q26</f>
        <v>9600</v>
      </c>
      <c r="H6" s="133" t="n">
        <f aca="false">SUM(B6,D6,F6)</f>
        <v>1472</v>
      </c>
      <c r="I6" s="134" t="n">
        <f aca="false">SUM(C6,E6,G6)</f>
        <v>7624520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customFormat="false" ht="22.35" hidden="false" customHeight="false" outlineLevel="0" collapsed="false">
      <c r="A7" s="128" t="s">
        <v>500</v>
      </c>
      <c r="B7" s="129" t="n">
        <f aca="false">'ธ.ค.68'!B26</f>
        <v>2276</v>
      </c>
      <c r="C7" s="130" t="n">
        <f aca="false">'ธ.ค.68'!C26</f>
        <v>59251660</v>
      </c>
      <c r="D7" s="129" t="n">
        <f aca="false">'ธ.ค.68'!H26</f>
        <v>28</v>
      </c>
      <c r="E7" s="130" t="n">
        <f aca="false">'ธ.ค.68'!I26</f>
        <v>178360</v>
      </c>
      <c r="F7" s="129" t="n">
        <f aca="false">'ธ.ค.68'!P26</f>
        <v>34</v>
      </c>
      <c r="G7" s="130" t="n">
        <f aca="false">'ธ.ค.68'!Q26</f>
        <v>134500</v>
      </c>
      <c r="H7" s="133" t="n">
        <f aca="false">SUM(B7,D7,F7)</f>
        <v>2338</v>
      </c>
      <c r="I7" s="134" t="n">
        <f aca="false">SUM(C7,E7,G7)</f>
        <v>59564520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customFormat="false" ht="22.35" hidden="false" customHeight="false" outlineLevel="0" collapsed="false">
      <c r="A8" s="128" t="s">
        <v>501</v>
      </c>
      <c r="B8" s="132" t="n">
        <f aca="false">'ม.ค.69'!B26</f>
        <v>86</v>
      </c>
      <c r="C8" s="130" t="n">
        <f aca="false">'ม.ค.69'!C26</f>
        <v>1355100</v>
      </c>
      <c r="D8" s="131" t="n">
        <f aca="false">'ม.ค.69'!H26</f>
        <v>13</v>
      </c>
      <c r="E8" s="130" t="n">
        <f aca="false">'ม.ค.69'!I26</f>
        <v>18060</v>
      </c>
      <c r="F8" s="132" t="n">
        <f aca="false">'ม.ค.69'!P26</f>
        <v>1689</v>
      </c>
      <c r="G8" s="130" t="n">
        <f aca="false">'ม.ค.69'!Q26</f>
        <v>5166500</v>
      </c>
      <c r="H8" s="135" t="n">
        <f aca="false">SUM(B8,D8,F8)</f>
        <v>1788</v>
      </c>
      <c r="I8" s="134" t="n">
        <f aca="false">SUM(C8,E8,G8)</f>
        <v>6539660</v>
      </c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customFormat="false" ht="22.35" hidden="false" customHeight="false" outlineLevel="0" collapsed="false">
      <c r="A9" s="128" t="s">
        <v>502</v>
      </c>
      <c r="B9" s="129" t="n">
        <f aca="false">'ก.พ.69'!B27</f>
        <v>439</v>
      </c>
      <c r="C9" s="130" t="n">
        <f aca="false">'ก.พ.69'!C27</f>
        <v>12990140</v>
      </c>
      <c r="D9" s="129" t="n">
        <f aca="false">'ก.พ.69'!H27</f>
        <v>12</v>
      </c>
      <c r="E9" s="130" t="n">
        <f aca="false">'ก.พ.69'!I27</f>
        <v>6000</v>
      </c>
      <c r="F9" s="129" t="n">
        <f aca="false">'ก.พ.69'!P27</f>
        <v>733</v>
      </c>
      <c r="G9" s="130" t="n">
        <f aca="false">'ก.พ.69'!Q27</f>
        <v>4771900</v>
      </c>
      <c r="H9" s="133" t="n">
        <f aca="false">SUM(B9,D9,F9)</f>
        <v>1184</v>
      </c>
      <c r="I9" s="134" t="n">
        <f aca="false">SUM(C9,E9,G9)</f>
        <v>17768040</v>
      </c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customFormat="false" ht="22.35" hidden="false" customHeight="false" outlineLevel="0" collapsed="false">
      <c r="A10" s="128" t="s">
        <v>503</v>
      </c>
      <c r="B10" s="129" t="n">
        <f aca="false">'มี.ค.69'!B27</f>
        <v>50</v>
      </c>
      <c r="C10" s="130" t="n">
        <f aca="false">'มี.ค.69'!C27</f>
        <v>7199500</v>
      </c>
      <c r="D10" s="129" t="n">
        <f aca="false">'มี.ค.69'!H27</f>
        <v>3</v>
      </c>
      <c r="E10" s="130" t="n">
        <f aca="false">'มี.ค.69'!I27</f>
        <v>1200</v>
      </c>
      <c r="F10" s="129" t="n">
        <f aca="false">'มี.ค.69'!P27</f>
        <v>2</v>
      </c>
      <c r="G10" s="130" t="n">
        <f aca="false">'มี.ค.69'!Q27</f>
        <v>10038.7</v>
      </c>
      <c r="H10" s="133" t="n">
        <f aca="false">SUM(B10,D10,F10)</f>
        <v>55</v>
      </c>
      <c r="I10" s="134" t="n">
        <f aca="false">SUM(C10,E10,G10)</f>
        <v>7210738.7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customFormat="false" ht="22.35" hidden="false" customHeight="false" outlineLevel="0" collapsed="false">
      <c r="A11" s="128" t="s">
        <v>504</v>
      </c>
      <c r="B11" s="129" t="n">
        <f aca="false">'เม.ย.69'!B24</f>
        <v>215</v>
      </c>
      <c r="C11" s="130" t="n">
        <f aca="false">'เม.ย.69'!C24</f>
        <v>9859440</v>
      </c>
      <c r="D11" s="129" t="n">
        <f aca="false">'เม.ย.69'!H24</f>
        <v>2</v>
      </c>
      <c r="E11" s="130" t="n">
        <f aca="false">'เม.ย.69'!I24</f>
        <v>700</v>
      </c>
      <c r="F11" s="129" t="n">
        <f aca="false">'เม.ย.69'!P24</f>
        <v>10</v>
      </c>
      <c r="G11" s="130" t="n">
        <f aca="false">'เม.ย.69'!Q24</f>
        <v>113851.7</v>
      </c>
      <c r="H11" s="133" t="n">
        <f aca="false">SUM(B11,D11,F11)</f>
        <v>227</v>
      </c>
      <c r="I11" s="134" t="n">
        <f aca="false">SUM(C11,E11,G11)</f>
        <v>9973991.7</v>
      </c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customFormat="false" ht="22.35" hidden="false" customHeight="false" outlineLevel="0" collapsed="false">
      <c r="A12" s="128" t="s">
        <v>505</v>
      </c>
      <c r="B12" s="129" t="n">
        <f aca="false">'พ.ค.69'!B25</f>
        <v>13</v>
      </c>
      <c r="C12" s="130" t="n">
        <f aca="false">'พ.ค.69'!C25</f>
        <v>10367480</v>
      </c>
      <c r="D12" s="129" t="n">
        <f aca="false">'พ.ค.69'!H25</f>
        <v>6</v>
      </c>
      <c r="E12" s="130" t="n">
        <f aca="false">'พ.ค.69'!I25</f>
        <v>5000</v>
      </c>
      <c r="F12" s="129" t="n">
        <f aca="false">'พ.ค.69'!P25</f>
        <v>3</v>
      </c>
      <c r="G12" s="130" t="n">
        <f aca="false">'พ.ค.69'!Q25</f>
        <v>3742.51</v>
      </c>
      <c r="H12" s="133" t="n">
        <f aca="false">SUM(B12,D12,F12)</f>
        <v>22</v>
      </c>
      <c r="I12" s="134" t="n">
        <f aca="false">SUM(C12,E12,G12)</f>
        <v>10376222.51</v>
      </c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customFormat="false" ht="22.35" hidden="false" customHeight="false" outlineLevel="0" collapsed="false">
      <c r="A13" s="128" t="s">
        <v>506</v>
      </c>
      <c r="B13" s="129" t="n">
        <f aca="false">'มิ.ย.69'!B26</f>
        <v>1</v>
      </c>
      <c r="C13" s="130" t="n">
        <f aca="false">'มิ.ย.69'!C26</f>
        <v>12612860</v>
      </c>
      <c r="D13" s="129" t="n">
        <f aca="false">'มิ.ย.69'!H26</f>
        <v>0</v>
      </c>
      <c r="E13" s="130" t="n">
        <f aca="false">'มิ.ย.69'!I26</f>
        <v>0</v>
      </c>
      <c r="F13" s="129" t="n">
        <f aca="false">'มิ.ย.69'!P26</f>
        <v>5</v>
      </c>
      <c r="G13" s="130" t="n">
        <f aca="false">'มิ.ย.69'!Q26</f>
        <v>16400</v>
      </c>
      <c r="H13" s="133" t="n">
        <f aca="false">SUM(B13,D13,F13)</f>
        <v>6</v>
      </c>
      <c r="I13" s="134" t="n">
        <f aca="false">SUM(C13,E13,G13)</f>
        <v>12629260</v>
      </c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customFormat="false" ht="22.35" hidden="false" customHeight="false" outlineLevel="0" collapsed="false">
      <c r="A14" s="128" t="s">
        <v>507</v>
      </c>
      <c r="B14" s="129" t="n">
        <f aca="false">'ก.ค.69'!B26</f>
        <v>0</v>
      </c>
      <c r="C14" s="130" t="n">
        <f aca="false">'ก.ค.69'!C26</f>
        <v>0</v>
      </c>
      <c r="D14" s="129" t="n">
        <f aca="false">'ก.ค.69'!H26</f>
        <v>3</v>
      </c>
      <c r="E14" s="130" t="n">
        <f aca="false">'ก.ค.69'!I26</f>
        <v>5700</v>
      </c>
      <c r="F14" s="129" t="n">
        <f aca="false">'ก.ค.69'!P26</f>
        <v>5</v>
      </c>
      <c r="G14" s="130" t="n">
        <f aca="false">'ก.ค.69'!Q26</f>
        <v>14839</v>
      </c>
      <c r="H14" s="133" t="n">
        <f aca="false">SUM(B14,D14,F14)</f>
        <v>8</v>
      </c>
      <c r="I14" s="134" t="n">
        <f aca="false">SUM(C14,E14,G14)</f>
        <v>20539</v>
      </c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customFormat="false" ht="22.35" hidden="false" customHeight="false" outlineLevel="0" collapsed="false">
      <c r="A15" s="128" t="s">
        <v>508</v>
      </c>
      <c r="B15" s="129" t="n">
        <f aca="false">'ส.ค.69'!B26</f>
        <v>1</v>
      </c>
      <c r="C15" s="130" t="n">
        <f aca="false">'ส.ค.69'!C26</f>
        <v>1800</v>
      </c>
      <c r="D15" s="129" t="n">
        <f aca="false">'ส.ค.69'!H26</f>
        <v>2</v>
      </c>
      <c r="E15" s="130" t="n">
        <f aca="false">'ส.ค.69'!I26</f>
        <v>45760</v>
      </c>
      <c r="F15" s="129" t="n">
        <f aca="false">'ส.ค.69'!P26</f>
        <v>5</v>
      </c>
      <c r="G15" s="130" t="n">
        <f aca="false">'ส.ค.69'!Q26</f>
        <v>14707.93</v>
      </c>
      <c r="H15" s="133" t="n">
        <f aca="false">SUM(B15,D15,F15)</f>
        <v>8</v>
      </c>
      <c r="I15" s="134" t="n">
        <f aca="false">SUM(C15,E15,G15)</f>
        <v>62267.93</v>
      </c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customFormat="false" ht="22.35" hidden="false" customHeight="false" outlineLevel="0" collapsed="false">
      <c r="A16" s="128" t="s">
        <v>509</v>
      </c>
      <c r="B16" s="129" t="n">
        <f aca="false">'ก.ย.69'!B28</f>
        <v>0</v>
      </c>
      <c r="C16" s="130" t="n">
        <f aca="false">'ก.ย.69'!C28</f>
        <v>0</v>
      </c>
      <c r="D16" s="129" t="n">
        <f aca="false">'ก.ย.69'!H28</f>
        <v>4</v>
      </c>
      <c r="E16" s="130" t="n">
        <f aca="false">'ก.ย.69'!I28</f>
        <v>1400</v>
      </c>
      <c r="F16" s="129" t="n">
        <f aca="false">'ก.ย.69'!P28</f>
        <v>4</v>
      </c>
      <c r="G16" s="130" t="n">
        <f aca="false">'ก.ย.69'!Q28</f>
        <v>69054.1</v>
      </c>
      <c r="H16" s="133" t="n">
        <f aca="false">SUM(B16,D16,F16)</f>
        <v>8</v>
      </c>
      <c r="I16" s="134" t="n">
        <f aca="false">SUM(C16,E16,G16)</f>
        <v>70454.1</v>
      </c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customFormat="false" ht="19.7" hidden="false" customHeight="false" outlineLevel="0" collapsed="false">
      <c r="A17" s="122" t="s">
        <v>23</v>
      </c>
      <c r="B17" s="136" t="n">
        <f aca="false">SUM(B5:B16)</f>
        <v>4547</v>
      </c>
      <c r="C17" s="137" t="n">
        <f aca="false">SUM(C3:C16)</f>
        <v>121244000</v>
      </c>
      <c r="D17" s="138" t="n">
        <f aca="false">SUM(D3:D16)</f>
        <v>105</v>
      </c>
      <c r="E17" s="139" t="n">
        <f aca="false">SUM(E3:E16)</f>
        <v>284980</v>
      </c>
      <c r="F17" s="140" t="n">
        <f aca="false">SUM(F3:F16)</f>
        <v>2497</v>
      </c>
      <c r="G17" s="141" t="n">
        <f aca="false">SUM(G3:G16)</f>
        <v>10395333.94</v>
      </c>
      <c r="H17" s="142" t="n">
        <f aca="false">SUM(H5:H16)</f>
        <v>7149</v>
      </c>
      <c r="I17" s="143" t="n">
        <f aca="false">SUM(I5:I16)</f>
        <v>131924313.94</v>
      </c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customFormat="false" ht="15.75" hidden="false" customHeight="false" outlineLevel="0" collapsed="false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customFormat="false" ht="15.75" hidden="false" customHeight="false" outlineLevel="0" collapsed="false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customFormat="false" ht="15.75" hidden="false" customHeight="false" outlineLevel="0" collapsed="false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customFormat="false" ht="15.75" hidden="false" customHeight="false" outlineLevel="0" collapsed="false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customFormat="false" ht="15.75" hidden="false" customHeight="false" outlineLevel="0" collapsed="false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customFormat="false" ht="15.75" hidden="false" customHeight="false" outlineLevel="0" collapsed="false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customFormat="false" ht="15.75" hidden="false" customHeight="false" outlineLevel="0" collapsed="false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customFormat="false" ht="15.75" hidden="false" customHeight="false" outlineLevel="0" collapsed="false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customFormat="false" ht="15.75" hidden="false" customHeight="false" outlineLevel="0" collapsed="false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customFormat="false" ht="15.75" hidden="false" customHeight="false" outlineLevel="0" collapsed="false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customFormat="false" ht="15.75" hidden="false" customHeight="false" outlineLevel="0" collapsed="false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customFormat="false" ht="15.75" hidden="false" customHeight="false" outlineLevel="0" collapsed="false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customFormat="false" ht="15.75" hidden="false" customHeight="false" outlineLevel="0" collapsed="false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customFormat="false" ht="15.75" hidden="false" customHeight="false" outlineLevel="0" collapsed="false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customFormat="false" ht="15.75" hidden="false" customHeight="false" outlineLevel="0" collapsed="false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customFormat="false" ht="15.75" hidden="false" customHeight="false" outlineLevel="0" collapsed="false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customFormat="false" ht="15.75" hidden="false" customHeight="false" outlineLevel="0" collapsed="false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customFormat="false" ht="15.75" hidden="false" customHeight="false" outlineLevel="0" collapsed="false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customFormat="false" ht="15.75" hidden="false" customHeight="false" outlineLevel="0" collapsed="false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customFormat="false" ht="15.75" hidden="false" customHeight="false" outlineLevel="0" collapsed="false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customFormat="false" ht="15.75" hidden="false" customHeight="false" outlineLevel="0" collapsed="false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customFormat="false" ht="15.75" hidden="false" customHeight="false" outlineLevel="0" collapsed="false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customFormat="false" ht="15.75" hidden="false" customHeight="false" outlineLevel="0" collapsed="false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customFormat="false" ht="15.75" hidden="false" customHeight="false" outlineLevel="0" collapsed="false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customFormat="false" ht="15.75" hidden="false" customHeight="false" outlineLevel="0" collapsed="false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customFormat="false" ht="15.75" hidden="false" customHeight="false" outlineLevel="0" collapsed="false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customFormat="false" ht="15.75" hidden="false" customHeight="false" outlineLevel="0" collapsed="false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customFormat="false" ht="15.75" hidden="false" customHeight="false" outlineLevel="0" collapsed="false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customFormat="false" ht="15.75" hidden="false" customHeight="false" outlineLevel="0" collapsed="false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customFormat="false" ht="15.75" hidden="false" customHeight="false" outlineLevel="0" collapsed="false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customFormat="false" ht="15.75" hidden="false" customHeight="false" outlineLevel="0" collapsed="false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customFormat="false" ht="15.75" hidden="false" customHeight="false" outlineLevel="0" collapsed="false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customFormat="false" ht="15.75" hidden="false" customHeight="false" outlineLevel="0" collapsed="false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customFormat="false" ht="15.75" hidden="false" customHeight="false" outlineLevel="0" collapsed="false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customFormat="false" ht="15.75" hidden="false" customHeight="false" outlineLevel="0" collapsed="false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customFormat="false" ht="15.75" hidden="false" customHeight="false" outlineLevel="0" collapsed="false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customFormat="false" ht="15.75" hidden="false" customHeight="false" outlineLevel="0" collapsed="false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customFormat="false" ht="15.75" hidden="false" customHeight="false" outlineLevel="0" collapsed="false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customFormat="false" ht="15.75" hidden="false" customHeight="false" outlineLevel="0" collapsed="false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customFormat="false" ht="15.75" hidden="false" customHeight="false" outlineLevel="0" collapsed="false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customFormat="false" ht="15.75" hidden="false" customHeight="false" outlineLevel="0" collapsed="false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customFormat="false" ht="15.75" hidden="false" customHeight="false" outlineLevel="0" collapsed="false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customFormat="false" ht="15.75" hidden="false" customHeight="false" outlineLevel="0" collapsed="false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customFormat="false" ht="15.75" hidden="false" customHeight="false" outlineLevel="0" collapsed="false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customFormat="false" ht="15.75" hidden="false" customHeight="false" outlineLevel="0" collapsed="false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customFormat="false" ht="15.75" hidden="false" customHeight="false" outlineLevel="0" collapsed="false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customFormat="false" ht="15.75" hidden="false" customHeight="false" outlineLevel="0" collapsed="false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customFormat="false" ht="15.75" hidden="false" customHeight="false" outlineLevel="0" collapsed="false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customFormat="false" ht="15.75" hidden="false" customHeight="false" outlineLevel="0" collapsed="false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customFormat="false" ht="15.75" hidden="false" customHeight="false" outlineLevel="0" collapsed="false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customFormat="false" ht="15.75" hidden="false" customHeight="false" outlineLevel="0" collapsed="false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customFormat="false" ht="15.75" hidden="false" customHeight="false" outlineLevel="0" collapsed="false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customFormat="false" ht="15.75" hidden="false" customHeight="false" outlineLevel="0" collapsed="false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customFormat="false" ht="15.75" hidden="false" customHeight="false" outlineLevel="0" collapsed="false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customFormat="false" ht="15.75" hidden="false" customHeight="false" outlineLevel="0" collapsed="false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customFormat="false" ht="15.75" hidden="false" customHeight="false" outlineLevel="0" collapsed="false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customFormat="false" ht="15.75" hidden="false" customHeight="false" outlineLevel="0" collapsed="false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customFormat="false" ht="15.75" hidden="false" customHeight="false" outlineLevel="0" collapsed="false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customFormat="false" ht="15.75" hidden="false" customHeight="false" outlineLevel="0" collapsed="false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customFormat="false" ht="15.75" hidden="false" customHeight="false" outlineLevel="0" collapsed="false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customFormat="false" ht="15.75" hidden="false" customHeight="false" outlineLevel="0" collapsed="false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customFormat="false" ht="15.75" hidden="false" customHeight="false" outlineLevel="0" collapsed="false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customFormat="false" ht="15.75" hidden="false" customHeight="false" outlineLevel="0" collapsed="false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customFormat="false" ht="15.75" hidden="false" customHeight="false" outlineLevel="0" collapsed="false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customFormat="false" ht="15.75" hidden="false" customHeight="false" outlineLevel="0" collapsed="false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customFormat="false" ht="15.75" hidden="false" customHeight="false" outlineLevel="0" collapsed="false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customFormat="false" ht="15.75" hidden="false" customHeight="false" outlineLevel="0" collapsed="false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customFormat="false" ht="15.75" hidden="false" customHeight="false" outlineLevel="0" collapsed="false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customFormat="false" ht="15.75" hidden="false" customHeight="false" outlineLevel="0" collapsed="false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customFormat="false" ht="15.75" hidden="false" customHeight="false" outlineLevel="0" collapsed="false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customFormat="false" ht="15.75" hidden="false" customHeight="false" outlineLevel="0" collapsed="false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customFormat="false" ht="15.75" hidden="false" customHeight="false" outlineLevel="0" collapsed="false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customFormat="false" ht="15.75" hidden="false" customHeight="false" outlineLevel="0" collapsed="false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customFormat="false" ht="15.75" hidden="false" customHeight="false" outlineLevel="0" collapsed="false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customFormat="false" ht="15.75" hidden="false" customHeight="false" outlineLevel="0" collapsed="false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customFormat="false" ht="15.75" hidden="false" customHeight="false" outlineLevel="0" collapsed="false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customFormat="false" ht="15.75" hidden="false" customHeight="false" outlineLevel="0" collapsed="false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customFormat="false" ht="15.75" hidden="false" customHeight="false" outlineLevel="0" collapsed="false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customFormat="false" ht="15.75" hidden="false" customHeight="false" outlineLevel="0" collapsed="false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customFormat="false" ht="15.75" hidden="false" customHeight="false" outlineLevel="0" collapsed="false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customFormat="false" ht="15.75" hidden="false" customHeight="false" outlineLevel="0" collapsed="false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customFormat="false" ht="15.75" hidden="false" customHeight="false" outlineLevel="0" collapsed="false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customFormat="false" ht="15.75" hidden="false" customHeight="false" outlineLevel="0" collapsed="false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customFormat="false" ht="15.75" hidden="false" customHeight="false" outlineLevel="0" collapsed="false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customFormat="false" ht="15.75" hidden="false" customHeight="false" outlineLevel="0" collapsed="false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customFormat="false" ht="15.75" hidden="false" customHeight="false" outlineLevel="0" collapsed="false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customFormat="false" ht="15.75" hidden="false" customHeight="false" outlineLevel="0" collapsed="false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customFormat="false" ht="15.75" hidden="false" customHeight="false" outlineLevel="0" collapsed="false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customFormat="false" ht="15.75" hidden="false" customHeight="false" outlineLevel="0" collapsed="false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customFormat="false" ht="15.75" hidden="false" customHeight="false" outlineLevel="0" collapsed="false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customFormat="false" ht="15.75" hidden="false" customHeight="false" outlineLevel="0" collapsed="false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customFormat="false" ht="15.75" hidden="false" customHeight="false" outlineLevel="0" collapsed="false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customFormat="false" ht="15.75" hidden="false" customHeight="false" outlineLevel="0" collapsed="false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customFormat="false" ht="15.75" hidden="false" customHeight="false" outlineLevel="0" collapsed="false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customFormat="false" ht="15.75" hidden="false" customHeight="false" outlineLevel="0" collapsed="false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customFormat="false" ht="15.75" hidden="false" customHeight="false" outlineLevel="0" collapsed="false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customFormat="false" ht="15.75" hidden="false" customHeight="false" outlineLevel="0" collapsed="false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customFormat="false" ht="15.75" hidden="false" customHeight="false" outlineLevel="0" collapsed="false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customFormat="false" ht="15.75" hidden="false" customHeight="false" outlineLevel="0" collapsed="false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customFormat="false" ht="15.75" hidden="false" customHeight="false" outlineLevel="0" collapsed="false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customFormat="false" ht="15.75" hidden="false" customHeight="false" outlineLevel="0" collapsed="false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customFormat="false" ht="15.75" hidden="false" customHeight="false" outlineLevel="0" collapsed="false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customFormat="false" ht="15.75" hidden="false" customHeight="false" outlineLevel="0" collapsed="false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customFormat="false" ht="15.75" hidden="false" customHeight="false" outlineLevel="0" collapsed="false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customFormat="false" ht="15.75" hidden="false" customHeight="false" outlineLevel="0" collapsed="false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customFormat="false" ht="15.75" hidden="false" customHeight="false" outlineLevel="0" collapsed="false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customFormat="false" ht="15.75" hidden="false" customHeight="false" outlineLevel="0" collapsed="false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customFormat="false" ht="15.75" hidden="false" customHeight="false" outlineLevel="0" collapsed="false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customFormat="false" ht="15.75" hidden="false" customHeight="false" outlineLevel="0" collapsed="false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customFormat="false" ht="15.75" hidden="false" customHeight="false" outlineLevel="0" collapsed="false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customFormat="false" ht="15.75" hidden="false" customHeight="false" outlineLevel="0" collapsed="false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customFormat="false" ht="15.75" hidden="false" customHeight="false" outlineLevel="0" collapsed="false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customFormat="false" ht="15.75" hidden="false" customHeight="false" outlineLevel="0" collapsed="false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customFormat="false" ht="15.75" hidden="false" customHeight="false" outlineLevel="0" collapsed="false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customFormat="false" ht="15.75" hidden="false" customHeight="false" outlineLevel="0" collapsed="false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customFormat="false" ht="15.75" hidden="false" customHeight="false" outlineLevel="0" collapsed="false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customFormat="false" ht="15.75" hidden="false" customHeight="false" outlineLevel="0" collapsed="false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customFormat="false" ht="15.75" hidden="false" customHeight="false" outlineLevel="0" collapsed="false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customFormat="false" ht="15.75" hidden="false" customHeight="false" outlineLevel="0" collapsed="false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customFormat="false" ht="15.75" hidden="false" customHeight="false" outlineLevel="0" collapsed="false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customFormat="false" ht="15.75" hidden="false" customHeight="false" outlineLevel="0" collapsed="false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customFormat="false" ht="15.75" hidden="false" customHeight="false" outlineLevel="0" collapsed="false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customFormat="false" ht="15.75" hidden="false" customHeight="false" outlineLevel="0" collapsed="false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customFormat="false" ht="15.75" hidden="false" customHeight="false" outlineLevel="0" collapsed="false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customFormat="false" ht="15.75" hidden="false" customHeight="false" outlineLevel="0" collapsed="false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customFormat="false" ht="15.75" hidden="false" customHeight="false" outlineLevel="0" collapsed="false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customFormat="false" ht="15.75" hidden="false" customHeight="false" outlineLevel="0" collapsed="false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customFormat="false" ht="15.75" hidden="false" customHeight="false" outlineLevel="0" collapsed="false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customFormat="false" ht="15.75" hidden="false" customHeight="false" outlineLevel="0" collapsed="false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customFormat="false" ht="15.75" hidden="false" customHeight="false" outlineLevel="0" collapsed="false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customFormat="false" ht="15.75" hidden="false" customHeight="false" outlineLevel="0" collapsed="false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customFormat="false" ht="15.75" hidden="false" customHeight="false" outlineLevel="0" collapsed="false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customFormat="false" ht="15.75" hidden="false" customHeight="false" outlineLevel="0" collapsed="false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customFormat="false" ht="15.75" hidden="false" customHeight="false" outlineLevel="0" collapsed="false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customFormat="false" ht="15.75" hidden="false" customHeight="false" outlineLevel="0" collapsed="false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customFormat="false" ht="15.75" hidden="false" customHeight="false" outlineLevel="0" collapsed="false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customFormat="false" ht="15.75" hidden="false" customHeight="false" outlineLevel="0" collapsed="false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customFormat="false" ht="15.75" hidden="false" customHeight="false" outlineLevel="0" collapsed="false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customFormat="false" ht="15.75" hidden="false" customHeight="false" outlineLevel="0" collapsed="false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customFormat="false" ht="15.75" hidden="false" customHeight="false" outlineLevel="0" collapsed="false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customFormat="false" ht="15.75" hidden="false" customHeight="false" outlineLevel="0" collapsed="false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customFormat="false" ht="15.75" hidden="false" customHeight="false" outlineLevel="0" collapsed="false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customFormat="false" ht="15.75" hidden="false" customHeight="false" outlineLevel="0" collapsed="false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customFormat="false" ht="15.75" hidden="false" customHeight="false" outlineLevel="0" collapsed="false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customFormat="false" ht="15.75" hidden="false" customHeight="false" outlineLevel="0" collapsed="false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customFormat="false" ht="15.75" hidden="false" customHeight="false" outlineLevel="0" collapsed="false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customFormat="false" ht="15.75" hidden="false" customHeight="false" outlineLevel="0" collapsed="false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customFormat="false" ht="15.75" hidden="false" customHeight="false" outlineLevel="0" collapsed="false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customFormat="false" ht="15.75" hidden="false" customHeight="false" outlineLevel="0" collapsed="false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customFormat="false" ht="15.75" hidden="false" customHeight="false" outlineLevel="0" collapsed="false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customFormat="false" ht="15.75" hidden="false" customHeight="false" outlineLevel="0" collapsed="false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customFormat="false" ht="15.75" hidden="false" customHeight="false" outlineLevel="0" collapsed="false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customFormat="false" ht="15.75" hidden="false" customHeight="false" outlineLevel="0" collapsed="false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customFormat="false" ht="15.75" hidden="false" customHeight="false" outlineLevel="0" collapsed="false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customFormat="false" ht="15.75" hidden="false" customHeight="false" outlineLevel="0" collapsed="false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customFormat="false" ht="15.75" hidden="false" customHeight="false" outlineLevel="0" collapsed="false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customFormat="false" ht="15.75" hidden="false" customHeight="false" outlineLevel="0" collapsed="false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customFormat="false" ht="15.75" hidden="false" customHeight="false" outlineLevel="0" collapsed="false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customFormat="false" ht="15.75" hidden="false" customHeight="false" outlineLevel="0" collapsed="false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customFormat="false" ht="15.75" hidden="false" customHeight="false" outlineLevel="0" collapsed="false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customFormat="false" ht="15.75" hidden="false" customHeight="false" outlineLevel="0" collapsed="false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customFormat="false" ht="15.75" hidden="false" customHeight="false" outlineLevel="0" collapsed="false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customFormat="false" ht="15.75" hidden="false" customHeight="false" outlineLevel="0" collapsed="false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customFormat="false" ht="15.75" hidden="false" customHeight="false" outlineLevel="0" collapsed="false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customFormat="false" ht="15.75" hidden="false" customHeight="false" outlineLevel="0" collapsed="false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customFormat="false" ht="15.75" hidden="false" customHeight="false" outlineLevel="0" collapsed="false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customFormat="false" ht="15.75" hidden="false" customHeight="false" outlineLevel="0" collapsed="false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customFormat="false" ht="15.75" hidden="false" customHeight="false" outlineLevel="0" collapsed="false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customFormat="false" ht="15.75" hidden="false" customHeight="false" outlineLevel="0" collapsed="false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customFormat="false" ht="15.75" hidden="false" customHeight="false" outlineLevel="0" collapsed="false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customFormat="false" ht="15.75" hidden="false" customHeight="false" outlineLevel="0" collapsed="false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customFormat="false" ht="15.75" hidden="false" customHeight="false" outlineLevel="0" collapsed="false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customFormat="false" ht="15.75" hidden="false" customHeight="false" outlineLevel="0" collapsed="false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customFormat="false" ht="15.75" hidden="false" customHeight="false" outlineLevel="0" collapsed="false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customFormat="false" ht="15.75" hidden="false" customHeight="false" outlineLevel="0" collapsed="false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customFormat="false" ht="15.75" hidden="false" customHeight="false" outlineLevel="0" collapsed="false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customFormat="false" ht="15.75" hidden="false" customHeight="false" outlineLevel="0" collapsed="false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customFormat="false" ht="15.75" hidden="false" customHeight="false" outlineLevel="0" collapsed="false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customFormat="false" ht="15.75" hidden="false" customHeight="false" outlineLevel="0" collapsed="false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customFormat="false" ht="15.75" hidden="false" customHeight="false" outlineLevel="0" collapsed="false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customFormat="false" ht="15.75" hidden="false" customHeight="false" outlineLevel="0" collapsed="false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customFormat="false" ht="15.75" hidden="false" customHeight="false" outlineLevel="0" collapsed="false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customFormat="false" ht="15.75" hidden="false" customHeight="false" outlineLevel="0" collapsed="false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customFormat="false" ht="15.75" hidden="false" customHeight="false" outlineLevel="0" collapsed="false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customFormat="false" ht="15.75" hidden="false" customHeight="false" outlineLevel="0" collapsed="false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customFormat="false" ht="15.75" hidden="false" customHeight="false" outlineLevel="0" collapsed="false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customFormat="false" ht="15.75" hidden="false" customHeight="false" outlineLevel="0" collapsed="false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customFormat="false" ht="15.75" hidden="false" customHeight="false" outlineLevel="0" collapsed="false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customFormat="false" ht="15.75" hidden="false" customHeight="false" outlineLevel="0" collapsed="false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customFormat="false" ht="15.75" hidden="false" customHeight="false" outlineLevel="0" collapsed="false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customFormat="false" ht="15.75" hidden="false" customHeight="false" outlineLevel="0" collapsed="false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customFormat="false" ht="15.75" hidden="false" customHeight="false" outlineLevel="0" collapsed="false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customFormat="false" ht="15.75" hidden="false" customHeight="false" outlineLevel="0" collapsed="false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customFormat="false" ht="15.75" hidden="false" customHeight="false" outlineLevel="0" collapsed="false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customFormat="false" ht="15.75" hidden="false" customHeight="false" outlineLevel="0" collapsed="false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customFormat="false" ht="15.75" hidden="false" customHeight="false" outlineLevel="0" collapsed="false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customFormat="false" ht="15.75" hidden="false" customHeight="false" outlineLevel="0" collapsed="false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customFormat="false" ht="15.75" hidden="false" customHeight="false" outlineLevel="0" collapsed="false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customFormat="false" ht="15.75" hidden="false" customHeight="false" outlineLevel="0" collapsed="false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customFormat="false" ht="15.75" hidden="false" customHeight="false" outlineLevel="0" collapsed="false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customFormat="false" ht="15.75" hidden="false" customHeight="false" outlineLevel="0" collapsed="false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customFormat="false" ht="15.75" hidden="false" customHeight="false" outlineLevel="0" collapsed="false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customFormat="false" ht="15.75" hidden="false" customHeight="false" outlineLevel="0" collapsed="false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customFormat="false" ht="15.75" hidden="false" customHeight="false" outlineLevel="0" collapsed="false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customFormat="false" ht="15.75" hidden="false" customHeight="false" outlineLevel="0" collapsed="false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customFormat="false" ht="15.75" hidden="false" customHeight="false" outlineLevel="0" collapsed="false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customFormat="false" ht="15.75" hidden="false" customHeight="false" outlineLevel="0" collapsed="false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customFormat="false" ht="15.75" hidden="false" customHeight="false" outlineLevel="0" collapsed="false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customFormat="false" ht="15.75" hidden="false" customHeight="false" outlineLevel="0" collapsed="false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customFormat="false" ht="15.75" hidden="false" customHeight="false" outlineLevel="0" collapsed="false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customFormat="false" ht="15.75" hidden="false" customHeight="false" outlineLevel="0" collapsed="false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customFormat="false" ht="15.75" hidden="false" customHeight="false" outlineLevel="0" collapsed="false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customFormat="false" ht="15.75" hidden="false" customHeight="false" outlineLevel="0" collapsed="false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customFormat="false" ht="15.75" hidden="false" customHeight="false" outlineLevel="0" collapsed="false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customFormat="false" ht="15.75" hidden="false" customHeight="false" outlineLevel="0" collapsed="false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customFormat="false" ht="15.75" hidden="false" customHeight="false" outlineLevel="0" collapsed="false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customFormat="false" ht="15.75" hidden="false" customHeight="false" outlineLevel="0" collapsed="false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customFormat="false" ht="15.75" hidden="false" customHeight="false" outlineLevel="0" collapsed="false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customFormat="false" ht="15.75" hidden="false" customHeight="false" outlineLevel="0" collapsed="false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customFormat="false" ht="15.75" hidden="false" customHeight="false" outlineLevel="0" collapsed="false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customFormat="false" ht="15.75" hidden="false" customHeight="false" outlineLevel="0" collapsed="false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customFormat="false" ht="15.75" hidden="false" customHeight="false" outlineLevel="0" collapsed="false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customFormat="false" ht="15.75" hidden="false" customHeight="false" outlineLevel="0" collapsed="false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customFormat="false" ht="15.75" hidden="false" customHeight="false" outlineLevel="0" collapsed="false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customFormat="false" ht="15.75" hidden="false" customHeight="false" outlineLevel="0" collapsed="false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customFormat="false" ht="15.75" hidden="false" customHeight="false" outlineLevel="0" collapsed="false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customFormat="false" ht="15.75" hidden="false" customHeight="false" outlineLevel="0" collapsed="false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customFormat="false" ht="15.75" hidden="false" customHeight="false" outlineLevel="0" collapsed="false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customFormat="false" ht="15.75" hidden="false" customHeight="false" outlineLevel="0" collapsed="false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customFormat="false" ht="15.75" hidden="false" customHeight="false" outlineLevel="0" collapsed="false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customFormat="false" ht="15.75" hidden="false" customHeight="false" outlineLevel="0" collapsed="false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customFormat="false" ht="15.75" hidden="false" customHeight="false" outlineLevel="0" collapsed="false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customFormat="false" ht="15.75" hidden="false" customHeight="false" outlineLevel="0" collapsed="false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customFormat="false" ht="15.75" hidden="false" customHeight="false" outlineLevel="0" collapsed="false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customFormat="false" ht="15.75" hidden="false" customHeight="false" outlineLevel="0" collapsed="false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customFormat="false" ht="15.75" hidden="false" customHeight="false" outlineLevel="0" collapsed="false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customFormat="false" ht="15.75" hidden="false" customHeight="false" outlineLevel="0" collapsed="false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customFormat="false" ht="15.75" hidden="false" customHeight="false" outlineLevel="0" collapsed="false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customFormat="false" ht="15.75" hidden="false" customHeight="false" outlineLevel="0" collapsed="false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customFormat="false" ht="15.75" hidden="false" customHeight="false" outlineLevel="0" collapsed="false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customFormat="false" ht="15.75" hidden="false" customHeight="false" outlineLevel="0" collapsed="false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customFormat="false" ht="15.75" hidden="false" customHeight="false" outlineLevel="0" collapsed="false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customFormat="false" ht="15.75" hidden="false" customHeight="false" outlineLevel="0" collapsed="false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customFormat="false" ht="15.75" hidden="false" customHeight="false" outlineLevel="0" collapsed="false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customFormat="false" ht="15.75" hidden="false" customHeight="false" outlineLevel="0" collapsed="false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customFormat="false" ht="15.75" hidden="false" customHeight="false" outlineLevel="0" collapsed="false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customFormat="false" ht="15.75" hidden="false" customHeight="false" outlineLevel="0" collapsed="false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customFormat="false" ht="15.75" hidden="false" customHeight="false" outlineLevel="0" collapsed="false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customFormat="false" ht="15.75" hidden="false" customHeight="false" outlineLevel="0" collapsed="false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customFormat="false" ht="15.75" hidden="false" customHeight="false" outlineLevel="0" collapsed="false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customFormat="false" ht="15.75" hidden="false" customHeight="false" outlineLevel="0" collapsed="false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customFormat="false" ht="15.75" hidden="false" customHeight="false" outlineLevel="0" collapsed="false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customFormat="false" ht="15.75" hidden="false" customHeight="false" outlineLevel="0" collapsed="false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customFormat="false" ht="15.75" hidden="false" customHeight="false" outlineLevel="0" collapsed="false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customFormat="false" ht="15.75" hidden="false" customHeight="false" outlineLevel="0" collapsed="false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customFormat="false" ht="15.75" hidden="false" customHeight="false" outlineLevel="0" collapsed="false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customFormat="false" ht="15.75" hidden="false" customHeight="false" outlineLevel="0" collapsed="false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customFormat="false" ht="15.75" hidden="false" customHeight="false" outlineLevel="0" collapsed="false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customFormat="false" ht="15.75" hidden="false" customHeight="false" outlineLevel="0" collapsed="false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customFormat="false" ht="15.75" hidden="false" customHeight="false" outlineLevel="0" collapsed="false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customFormat="false" ht="15.75" hidden="false" customHeight="false" outlineLevel="0" collapsed="false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customFormat="false" ht="15.75" hidden="false" customHeight="false" outlineLevel="0" collapsed="false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customFormat="false" ht="15.75" hidden="false" customHeight="false" outlineLevel="0" collapsed="false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customFormat="false" ht="15.75" hidden="false" customHeight="false" outlineLevel="0" collapsed="false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customFormat="false" ht="15.75" hidden="false" customHeight="false" outlineLevel="0" collapsed="false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customFormat="false" ht="15.75" hidden="false" customHeight="false" outlineLevel="0" collapsed="false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customFormat="false" ht="15.75" hidden="false" customHeight="false" outlineLevel="0" collapsed="false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customFormat="false" ht="15.75" hidden="false" customHeight="false" outlineLevel="0" collapsed="false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customFormat="false" ht="15.75" hidden="false" customHeight="false" outlineLevel="0" collapsed="false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customFormat="false" ht="15.75" hidden="false" customHeight="false" outlineLevel="0" collapsed="false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customFormat="false" ht="15.75" hidden="false" customHeight="false" outlineLevel="0" collapsed="false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customFormat="false" ht="15.75" hidden="false" customHeight="false" outlineLevel="0" collapsed="false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customFormat="false" ht="15.75" hidden="false" customHeight="false" outlineLevel="0" collapsed="false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customFormat="false" ht="15.75" hidden="false" customHeight="false" outlineLevel="0" collapsed="false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customFormat="false" ht="15.75" hidden="false" customHeight="false" outlineLevel="0" collapsed="false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customFormat="false" ht="15.75" hidden="false" customHeight="false" outlineLevel="0" collapsed="false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customFormat="false" ht="15.75" hidden="false" customHeight="false" outlineLevel="0" collapsed="false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customFormat="false" ht="15.75" hidden="false" customHeight="false" outlineLevel="0" collapsed="false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customFormat="false" ht="15.75" hidden="false" customHeight="false" outlineLevel="0" collapsed="false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customFormat="false" ht="15.75" hidden="false" customHeight="false" outlineLevel="0" collapsed="false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customFormat="false" ht="15.75" hidden="false" customHeight="false" outlineLevel="0" collapsed="false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customFormat="false" ht="15.75" hidden="false" customHeight="false" outlineLevel="0" collapsed="false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customFormat="false" ht="15.75" hidden="false" customHeight="false" outlineLevel="0" collapsed="false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customFormat="false" ht="15.75" hidden="false" customHeight="false" outlineLevel="0" collapsed="false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customFormat="false" ht="15.75" hidden="false" customHeight="false" outlineLevel="0" collapsed="false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customFormat="false" ht="15.75" hidden="false" customHeight="false" outlineLevel="0" collapsed="false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customFormat="false" ht="15.75" hidden="false" customHeight="false" outlineLevel="0" collapsed="false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customFormat="false" ht="15.75" hidden="false" customHeight="false" outlineLevel="0" collapsed="false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customFormat="false" ht="15.75" hidden="false" customHeight="false" outlineLevel="0" collapsed="false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customFormat="false" ht="15.75" hidden="false" customHeight="false" outlineLevel="0" collapsed="false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customFormat="false" ht="15.75" hidden="false" customHeight="false" outlineLevel="0" collapsed="false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customFormat="false" ht="15.75" hidden="false" customHeight="false" outlineLevel="0" collapsed="false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customFormat="false" ht="15.75" hidden="false" customHeight="false" outlineLevel="0" collapsed="false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customFormat="false" ht="15.75" hidden="false" customHeight="false" outlineLevel="0" collapsed="false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customFormat="false" ht="15.75" hidden="false" customHeight="false" outlineLevel="0" collapsed="false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customFormat="false" ht="15.75" hidden="false" customHeight="false" outlineLevel="0" collapsed="false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customFormat="false" ht="15.75" hidden="false" customHeight="false" outlineLevel="0" collapsed="false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customFormat="false" ht="15.75" hidden="false" customHeight="false" outlineLevel="0" collapsed="false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customFormat="false" ht="15.75" hidden="false" customHeight="false" outlineLevel="0" collapsed="false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customFormat="false" ht="15.75" hidden="false" customHeight="false" outlineLevel="0" collapsed="false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customFormat="false" ht="15.75" hidden="false" customHeight="false" outlineLevel="0" collapsed="false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customFormat="false" ht="15.75" hidden="false" customHeight="false" outlineLevel="0" collapsed="false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customFormat="false" ht="15.75" hidden="false" customHeight="false" outlineLevel="0" collapsed="false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customFormat="false" ht="15.75" hidden="false" customHeight="false" outlineLevel="0" collapsed="false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customFormat="false" ht="15.75" hidden="false" customHeight="false" outlineLevel="0" collapsed="false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customFormat="false" ht="15.75" hidden="false" customHeight="false" outlineLevel="0" collapsed="false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customFormat="false" ht="15.75" hidden="false" customHeight="false" outlineLevel="0" collapsed="false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customFormat="false" ht="15.75" hidden="false" customHeight="false" outlineLevel="0" collapsed="false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customFormat="false" ht="15.75" hidden="false" customHeight="false" outlineLevel="0" collapsed="false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customFormat="false" ht="15.75" hidden="false" customHeight="false" outlineLevel="0" collapsed="false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customFormat="false" ht="15.75" hidden="false" customHeight="false" outlineLevel="0" collapsed="false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customFormat="false" ht="15.75" hidden="false" customHeight="false" outlineLevel="0" collapsed="false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customFormat="false" ht="15.75" hidden="false" customHeight="false" outlineLevel="0" collapsed="false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customFormat="false" ht="15.75" hidden="false" customHeight="false" outlineLevel="0" collapsed="false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customFormat="false" ht="15.75" hidden="false" customHeight="false" outlineLevel="0" collapsed="false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customFormat="false" ht="15.75" hidden="false" customHeight="false" outlineLevel="0" collapsed="false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customFormat="false" ht="15.75" hidden="false" customHeight="false" outlineLevel="0" collapsed="false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customFormat="false" ht="15.75" hidden="false" customHeight="false" outlineLevel="0" collapsed="false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customFormat="false" ht="15.75" hidden="false" customHeight="false" outlineLevel="0" collapsed="false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customFormat="false" ht="15.75" hidden="false" customHeight="false" outlineLevel="0" collapsed="false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customFormat="false" ht="15.75" hidden="false" customHeight="false" outlineLevel="0" collapsed="false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customFormat="false" ht="15.75" hidden="false" customHeight="false" outlineLevel="0" collapsed="false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customFormat="false" ht="15.75" hidden="false" customHeight="false" outlineLevel="0" collapsed="false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customFormat="false" ht="15.75" hidden="false" customHeight="false" outlineLevel="0" collapsed="false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customFormat="false" ht="15.75" hidden="false" customHeight="false" outlineLevel="0" collapsed="false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customFormat="false" ht="15.75" hidden="false" customHeight="false" outlineLevel="0" collapsed="false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customFormat="false" ht="15.75" hidden="false" customHeight="false" outlineLevel="0" collapsed="false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customFormat="false" ht="15.75" hidden="false" customHeight="false" outlineLevel="0" collapsed="false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customFormat="false" ht="15.75" hidden="false" customHeight="false" outlineLevel="0" collapsed="false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customFormat="false" ht="15.75" hidden="false" customHeight="false" outlineLevel="0" collapsed="false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customFormat="false" ht="15.75" hidden="false" customHeight="false" outlineLevel="0" collapsed="false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customFormat="false" ht="15.75" hidden="false" customHeight="false" outlineLevel="0" collapsed="false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customFormat="false" ht="15.75" hidden="false" customHeight="false" outlineLevel="0" collapsed="false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customFormat="false" ht="15.75" hidden="false" customHeight="false" outlineLevel="0" collapsed="false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customFormat="false" ht="15.75" hidden="false" customHeight="false" outlineLevel="0" collapsed="false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customFormat="false" ht="15.75" hidden="false" customHeight="false" outlineLevel="0" collapsed="false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customFormat="false" ht="15.75" hidden="false" customHeight="false" outlineLevel="0" collapsed="false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customFormat="false" ht="15.75" hidden="false" customHeight="false" outlineLevel="0" collapsed="false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customFormat="false" ht="15.75" hidden="false" customHeight="false" outlineLevel="0" collapsed="false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customFormat="false" ht="15.75" hidden="false" customHeight="false" outlineLevel="0" collapsed="false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customFormat="false" ht="15.75" hidden="false" customHeight="false" outlineLevel="0" collapsed="false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customFormat="false" ht="15.75" hidden="false" customHeight="false" outlineLevel="0" collapsed="false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customFormat="false" ht="15.75" hidden="false" customHeight="false" outlineLevel="0" collapsed="false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customFormat="false" ht="15.75" hidden="false" customHeight="false" outlineLevel="0" collapsed="false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customFormat="false" ht="15.75" hidden="false" customHeight="false" outlineLevel="0" collapsed="false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customFormat="false" ht="15.75" hidden="false" customHeight="false" outlineLevel="0" collapsed="false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customFormat="false" ht="15.75" hidden="false" customHeight="false" outlineLevel="0" collapsed="false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customFormat="false" ht="15.75" hidden="false" customHeight="false" outlineLevel="0" collapsed="false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customFormat="false" ht="15.75" hidden="false" customHeight="false" outlineLevel="0" collapsed="false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customFormat="false" ht="15.75" hidden="false" customHeight="false" outlineLevel="0" collapsed="false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customFormat="false" ht="15.75" hidden="false" customHeight="false" outlineLevel="0" collapsed="false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customFormat="false" ht="15.75" hidden="false" customHeight="false" outlineLevel="0" collapsed="false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customFormat="false" ht="15.75" hidden="false" customHeight="false" outlineLevel="0" collapsed="false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customFormat="false" ht="15.75" hidden="false" customHeight="false" outlineLevel="0" collapsed="false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customFormat="false" ht="15.75" hidden="false" customHeight="false" outlineLevel="0" collapsed="false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customFormat="false" ht="15.75" hidden="false" customHeight="false" outlineLevel="0" collapsed="false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customFormat="false" ht="15.75" hidden="false" customHeight="false" outlineLevel="0" collapsed="false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customFormat="false" ht="15.75" hidden="false" customHeight="false" outlineLevel="0" collapsed="false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customFormat="false" ht="15.75" hidden="false" customHeight="false" outlineLevel="0" collapsed="false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customFormat="false" ht="15.75" hidden="false" customHeight="false" outlineLevel="0" collapsed="false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customFormat="false" ht="15.75" hidden="false" customHeight="false" outlineLevel="0" collapsed="false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customFormat="false" ht="15.75" hidden="false" customHeight="false" outlineLevel="0" collapsed="false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customFormat="false" ht="15.75" hidden="false" customHeight="false" outlineLevel="0" collapsed="false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customFormat="false" ht="15.75" hidden="false" customHeight="false" outlineLevel="0" collapsed="false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customFormat="false" ht="15.75" hidden="false" customHeight="false" outlineLevel="0" collapsed="false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customFormat="false" ht="15.75" hidden="false" customHeight="false" outlineLevel="0" collapsed="false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customFormat="false" ht="15.75" hidden="false" customHeight="false" outlineLevel="0" collapsed="false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customFormat="false" ht="15.75" hidden="false" customHeight="false" outlineLevel="0" collapsed="false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customFormat="false" ht="15.75" hidden="false" customHeight="false" outlineLevel="0" collapsed="false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customFormat="false" ht="15.75" hidden="false" customHeight="false" outlineLevel="0" collapsed="false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customFormat="false" ht="15.75" hidden="false" customHeight="false" outlineLevel="0" collapsed="false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customFormat="false" ht="15.75" hidden="false" customHeight="false" outlineLevel="0" collapsed="false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customFormat="false" ht="15.75" hidden="false" customHeight="false" outlineLevel="0" collapsed="false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customFormat="false" ht="15.75" hidden="false" customHeight="false" outlineLevel="0" collapsed="false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customFormat="false" ht="15.75" hidden="false" customHeight="false" outlineLevel="0" collapsed="false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customFormat="false" ht="15.75" hidden="false" customHeight="false" outlineLevel="0" collapsed="false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customFormat="false" ht="15.75" hidden="false" customHeight="false" outlineLevel="0" collapsed="false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customFormat="false" ht="15.75" hidden="false" customHeight="false" outlineLevel="0" collapsed="false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customFormat="false" ht="15.75" hidden="false" customHeight="false" outlineLevel="0" collapsed="false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customFormat="false" ht="15.75" hidden="false" customHeight="false" outlineLevel="0" collapsed="false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customFormat="false" ht="15.75" hidden="false" customHeight="false" outlineLevel="0" collapsed="false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customFormat="false" ht="15.75" hidden="false" customHeight="false" outlineLevel="0" collapsed="false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customFormat="false" ht="15.75" hidden="false" customHeight="false" outlineLevel="0" collapsed="false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customFormat="false" ht="15.75" hidden="false" customHeight="false" outlineLevel="0" collapsed="false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customFormat="false" ht="15.75" hidden="false" customHeight="false" outlineLevel="0" collapsed="false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customFormat="false" ht="15.75" hidden="false" customHeight="false" outlineLevel="0" collapsed="false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customFormat="false" ht="15.75" hidden="false" customHeight="false" outlineLevel="0" collapsed="false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customFormat="false" ht="15.75" hidden="false" customHeight="false" outlineLevel="0" collapsed="false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customFormat="false" ht="15.75" hidden="false" customHeight="false" outlineLevel="0" collapsed="false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customFormat="false" ht="15.75" hidden="false" customHeight="false" outlineLevel="0" collapsed="false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customFormat="false" ht="15.75" hidden="false" customHeight="false" outlineLevel="0" collapsed="false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customFormat="false" ht="15.75" hidden="false" customHeight="false" outlineLevel="0" collapsed="false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customFormat="false" ht="15.75" hidden="false" customHeight="false" outlineLevel="0" collapsed="false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customFormat="false" ht="15.75" hidden="false" customHeight="false" outlineLevel="0" collapsed="false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customFormat="false" ht="15.75" hidden="false" customHeight="false" outlineLevel="0" collapsed="false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customFormat="false" ht="15.75" hidden="false" customHeight="false" outlineLevel="0" collapsed="false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customFormat="false" ht="15.75" hidden="false" customHeight="false" outlineLevel="0" collapsed="false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customFormat="false" ht="15.75" hidden="false" customHeight="false" outlineLevel="0" collapsed="false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customFormat="false" ht="15.75" hidden="false" customHeight="false" outlineLevel="0" collapsed="false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customFormat="false" ht="15.75" hidden="false" customHeight="false" outlineLevel="0" collapsed="false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customFormat="false" ht="15.75" hidden="false" customHeight="false" outlineLevel="0" collapsed="false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customFormat="false" ht="15.75" hidden="false" customHeight="false" outlineLevel="0" collapsed="false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customFormat="false" ht="15.75" hidden="false" customHeight="false" outlineLevel="0" collapsed="false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customFormat="false" ht="15.75" hidden="false" customHeight="false" outlineLevel="0" collapsed="false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customFormat="false" ht="15.75" hidden="false" customHeight="false" outlineLevel="0" collapsed="false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customFormat="false" ht="15.75" hidden="false" customHeight="false" outlineLevel="0" collapsed="false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customFormat="false" ht="15.75" hidden="false" customHeight="false" outlineLevel="0" collapsed="false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customFormat="false" ht="15.75" hidden="false" customHeight="false" outlineLevel="0" collapsed="false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customFormat="false" ht="15.75" hidden="false" customHeight="false" outlineLevel="0" collapsed="false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customFormat="false" ht="15.75" hidden="false" customHeight="false" outlineLevel="0" collapsed="false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customFormat="false" ht="15.75" hidden="false" customHeight="false" outlineLevel="0" collapsed="false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customFormat="false" ht="15.75" hidden="false" customHeight="false" outlineLevel="0" collapsed="false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customFormat="false" ht="15.75" hidden="false" customHeight="false" outlineLevel="0" collapsed="false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customFormat="false" ht="15.75" hidden="false" customHeight="false" outlineLevel="0" collapsed="false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customFormat="false" ht="15.75" hidden="false" customHeight="false" outlineLevel="0" collapsed="false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customFormat="false" ht="15.75" hidden="false" customHeight="false" outlineLevel="0" collapsed="false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customFormat="false" ht="15.75" hidden="false" customHeight="false" outlineLevel="0" collapsed="false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customFormat="false" ht="15.75" hidden="false" customHeight="false" outlineLevel="0" collapsed="false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customFormat="false" ht="15.75" hidden="false" customHeight="false" outlineLevel="0" collapsed="false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customFormat="false" ht="15.75" hidden="false" customHeight="false" outlineLevel="0" collapsed="false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customFormat="false" ht="15.75" hidden="false" customHeight="false" outlineLevel="0" collapsed="false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customFormat="false" ht="15.75" hidden="false" customHeight="false" outlineLevel="0" collapsed="false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customFormat="false" ht="15.75" hidden="false" customHeight="false" outlineLevel="0" collapsed="false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customFormat="false" ht="15.75" hidden="false" customHeight="false" outlineLevel="0" collapsed="false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customFormat="false" ht="15.75" hidden="false" customHeight="false" outlineLevel="0" collapsed="false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customFormat="false" ht="15.75" hidden="false" customHeight="false" outlineLevel="0" collapsed="false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customFormat="false" ht="15.75" hidden="false" customHeight="false" outlineLevel="0" collapsed="false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customFormat="false" ht="15.75" hidden="false" customHeight="false" outlineLevel="0" collapsed="false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customFormat="false" ht="15.75" hidden="false" customHeight="false" outlineLevel="0" collapsed="false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customFormat="false" ht="15.75" hidden="false" customHeight="false" outlineLevel="0" collapsed="false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customFormat="false" ht="15.75" hidden="false" customHeight="false" outlineLevel="0" collapsed="false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customFormat="false" ht="15.75" hidden="false" customHeight="false" outlineLevel="0" collapsed="false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customFormat="false" ht="15.75" hidden="false" customHeight="false" outlineLevel="0" collapsed="false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customFormat="false" ht="15.75" hidden="false" customHeight="false" outlineLevel="0" collapsed="false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customFormat="false" ht="15.75" hidden="false" customHeight="false" outlineLevel="0" collapsed="false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customFormat="false" ht="15.75" hidden="false" customHeight="false" outlineLevel="0" collapsed="false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customFormat="false" ht="15.75" hidden="false" customHeight="false" outlineLevel="0" collapsed="false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customFormat="false" ht="15.75" hidden="false" customHeight="false" outlineLevel="0" collapsed="false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customFormat="false" ht="15.75" hidden="false" customHeight="false" outlineLevel="0" collapsed="false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customFormat="false" ht="15.75" hidden="false" customHeight="false" outlineLevel="0" collapsed="false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customFormat="false" ht="15.75" hidden="false" customHeight="false" outlineLevel="0" collapsed="false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customFormat="false" ht="15.75" hidden="false" customHeight="false" outlineLevel="0" collapsed="false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customFormat="false" ht="15.75" hidden="false" customHeight="false" outlineLevel="0" collapsed="false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customFormat="false" ht="15.75" hidden="false" customHeight="false" outlineLevel="0" collapsed="false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customFormat="false" ht="15.75" hidden="false" customHeight="false" outlineLevel="0" collapsed="false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customFormat="false" ht="15.75" hidden="false" customHeight="false" outlineLevel="0" collapsed="false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customFormat="false" ht="15.75" hidden="false" customHeight="false" outlineLevel="0" collapsed="false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customFormat="false" ht="15.75" hidden="false" customHeight="false" outlineLevel="0" collapsed="false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customFormat="false" ht="15.75" hidden="false" customHeight="false" outlineLevel="0" collapsed="false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customFormat="false" ht="15.75" hidden="false" customHeight="false" outlineLevel="0" collapsed="false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customFormat="false" ht="15.75" hidden="false" customHeight="false" outlineLevel="0" collapsed="false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customFormat="false" ht="15.75" hidden="false" customHeight="false" outlineLevel="0" collapsed="false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customFormat="false" ht="15.75" hidden="false" customHeight="false" outlineLevel="0" collapsed="false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customFormat="false" ht="15.75" hidden="false" customHeight="false" outlineLevel="0" collapsed="false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customFormat="false" ht="15.75" hidden="false" customHeight="false" outlineLevel="0" collapsed="false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customFormat="false" ht="15.75" hidden="false" customHeight="false" outlineLevel="0" collapsed="false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customFormat="false" ht="15.75" hidden="false" customHeight="false" outlineLevel="0" collapsed="false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customFormat="false" ht="15.75" hidden="false" customHeight="false" outlineLevel="0" collapsed="false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customFormat="false" ht="15.75" hidden="false" customHeight="false" outlineLevel="0" collapsed="false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customFormat="false" ht="15.75" hidden="false" customHeight="false" outlineLevel="0" collapsed="false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customFormat="false" ht="15.75" hidden="false" customHeight="false" outlineLevel="0" collapsed="false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customFormat="false" ht="15.75" hidden="false" customHeight="false" outlineLevel="0" collapsed="false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customFormat="false" ht="15.75" hidden="false" customHeight="false" outlineLevel="0" collapsed="false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customFormat="false" ht="15.75" hidden="false" customHeight="false" outlineLevel="0" collapsed="false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customFormat="false" ht="15.75" hidden="false" customHeight="false" outlineLevel="0" collapsed="false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customFormat="false" ht="15.75" hidden="false" customHeight="false" outlineLevel="0" collapsed="false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customFormat="false" ht="15.75" hidden="false" customHeight="false" outlineLevel="0" collapsed="false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customFormat="false" ht="15.75" hidden="false" customHeight="false" outlineLevel="0" collapsed="false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customFormat="false" ht="15.75" hidden="false" customHeight="false" outlineLevel="0" collapsed="false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customFormat="false" ht="15.75" hidden="false" customHeight="false" outlineLevel="0" collapsed="false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customFormat="false" ht="15.75" hidden="false" customHeight="false" outlineLevel="0" collapsed="false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customFormat="false" ht="15.75" hidden="false" customHeight="false" outlineLevel="0" collapsed="false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customFormat="false" ht="15.75" hidden="false" customHeight="false" outlineLevel="0" collapsed="false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customFormat="false" ht="15.75" hidden="false" customHeight="false" outlineLevel="0" collapsed="false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customFormat="false" ht="15.75" hidden="false" customHeight="false" outlineLevel="0" collapsed="false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customFormat="false" ht="15.75" hidden="false" customHeight="false" outlineLevel="0" collapsed="false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customFormat="false" ht="15.75" hidden="false" customHeight="false" outlineLevel="0" collapsed="false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customFormat="false" ht="15.75" hidden="false" customHeight="false" outlineLevel="0" collapsed="false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customFormat="false" ht="15.75" hidden="false" customHeight="false" outlineLevel="0" collapsed="false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customFormat="false" ht="15.75" hidden="false" customHeight="false" outlineLevel="0" collapsed="false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customFormat="false" ht="15.75" hidden="false" customHeight="false" outlineLevel="0" collapsed="false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customFormat="false" ht="15.75" hidden="false" customHeight="false" outlineLevel="0" collapsed="false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customFormat="false" ht="15.75" hidden="false" customHeight="false" outlineLevel="0" collapsed="false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customFormat="false" ht="15.75" hidden="false" customHeight="false" outlineLevel="0" collapsed="false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customFormat="false" ht="15.75" hidden="false" customHeight="false" outlineLevel="0" collapsed="false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customFormat="false" ht="15.75" hidden="false" customHeight="false" outlineLevel="0" collapsed="false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customFormat="false" ht="15.75" hidden="false" customHeight="false" outlineLevel="0" collapsed="false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customFormat="false" ht="15.75" hidden="false" customHeight="false" outlineLevel="0" collapsed="false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customFormat="false" ht="15.75" hidden="false" customHeight="false" outlineLevel="0" collapsed="false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customFormat="false" ht="15.75" hidden="false" customHeight="false" outlineLevel="0" collapsed="false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customFormat="false" ht="15.75" hidden="false" customHeight="false" outlineLevel="0" collapsed="false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customFormat="false" ht="15.75" hidden="false" customHeight="false" outlineLevel="0" collapsed="false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customFormat="false" ht="15.75" hidden="false" customHeight="false" outlineLevel="0" collapsed="false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customFormat="false" ht="15.75" hidden="false" customHeight="false" outlineLevel="0" collapsed="false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customFormat="false" ht="15.75" hidden="false" customHeight="false" outlineLevel="0" collapsed="false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customFormat="false" ht="15.75" hidden="false" customHeight="false" outlineLevel="0" collapsed="false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customFormat="false" ht="15.75" hidden="false" customHeight="false" outlineLevel="0" collapsed="false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customFormat="false" ht="15.75" hidden="false" customHeight="false" outlineLevel="0" collapsed="false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customFormat="false" ht="15.75" hidden="false" customHeight="false" outlineLevel="0" collapsed="false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customFormat="false" ht="15.75" hidden="false" customHeight="false" outlineLevel="0" collapsed="false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customFormat="false" ht="15.75" hidden="false" customHeight="false" outlineLevel="0" collapsed="false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customFormat="false" ht="15.75" hidden="false" customHeight="false" outlineLevel="0" collapsed="false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customFormat="false" ht="15.75" hidden="false" customHeight="false" outlineLevel="0" collapsed="false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customFormat="false" ht="15.75" hidden="false" customHeight="false" outlineLevel="0" collapsed="false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customFormat="false" ht="15.75" hidden="false" customHeight="false" outlineLevel="0" collapsed="false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customFormat="false" ht="15.75" hidden="false" customHeight="false" outlineLevel="0" collapsed="false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customFormat="false" ht="15.75" hidden="false" customHeight="false" outlineLevel="0" collapsed="false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customFormat="false" ht="15.75" hidden="false" customHeight="false" outlineLevel="0" collapsed="false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customFormat="false" ht="15.75" hidden="false" customHeight="false" outlineLevel="0" collapsed="false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customFormat="false" ht="15.75" hidden="false" customHeight="false" outlineLevel="0" collapsed="false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customFormat="false" ht="15.75" hidden="false" customHeight="false" outlineLevel="0" collapsed="false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customFormat="false" ht="15.75" hidden="false" customHeight="false" outlineLevel="0" collapsed="false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customFormat="false" ht="15.75" hidden="false" customHeight="false" outlineLevel="0" collapsed="false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customFormat="false" ht="15.75" hidden="false" customHeight="false" outlineLevel="0" collapsed="false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customFormat="false" ht="15.75" hidden="false" customHeight="false" outlineLevel="0" collapsed="false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customFormat="false" ht="15.75" hidden="false" customHeight="false" outlineLevel="0" collapsed="false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customFormat="false" ht="15.75" hidden="false" customHeight="false" outlineLevel="0" collapsed="false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customFormat="false" ht="15.75" hidden="false" customHeight="false" outlineLevel="0" collapsed="false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customFormat="false" ht="15.75" hidden="false" customHeight="false" outlineLevel="0" collapsed="false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customFormat="false" ht="15.75" hidden="false" customHeight="false" outlineLevel="0" collapsed="false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customFormat="false" ht="15.75" hidden="false" customHeight="false" outlineLevel="0" collapsed="false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customFormat="false" ht="15.75" hidden="false" customHeight="false" outlineLevel="0" collapsed="false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customFormat="false" ht="15.75" hidden="false" customHeight="false" outlineLevel="0" collapsed="false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customFormat="false" ht="15.75" hidden="false" customHeight="false" outlineLevel="0" collapsed="false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customFormat="false" ht="15.75" hidden="false" customHeight="false" outlineLevel="0" collapsed="false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customFormat="false" ht="15.75" hidden="false" customHeight="false" outlineLevel="0" collapsed="false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customFormat="false" ht="15.75" hidden="false" customHeight="false" outlineLevel="0" collapsed="false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customFormat="false" ht="15.75" hidden="false" customHeight="false" outlineLevel="0" collapsed="false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customFormat="false" ht="15.75" hidden="false" customHeight="false" outlineLevel="0" collapsed="false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customFormat="false" ht="15.75" hidden="false" customHeight="false" outlineLevel="0" collapsed="false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customFormat="false" ht="15.75" hidden="false" customHeight="false" outlineLevel="0" collapsed="false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customFormat="false" ht="15.75" hidden="false" customHeight="false" outlineLevel="0" collapsed="false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customFormat="false" ht="15.75" hidden="false" customHeight="false" outlineLevel="0" collapsed="false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customFormat="false" ht="15.75" hidden="false" customHeight="false" outlineLevel="0" collapsed="false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customFormat="false" ht="15.75" hidden="false" customHeight="false" outlineLevel="0" collapsed="false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customFormat="false" ht="15.75" hidden="false" customHeight="false" outlineLevel="0" collapsed="false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customFormat="false" ht="15.75" hidden="false" customHeight="false" outlineLevel="0" collapsed="false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customFormat="false" ht="15.75" hidden="false" customHeight="false" outlineLevel="0" collapsed="false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customFormat="false" ht="15.75" hidden="false" customHeight="false" outlineLevel="0" collapsed="false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customFormat="false" ht="15.75" hidden="false" customHeight="false" outlineLevel="0" collapsed="false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customFormat="false" ht="15.75" hidden="false" customHeight="false" outlineLevel="0" collapsed="false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customFormat="false" ht="15.75" hidden="false" customHeight="false" outlineLevel="0" collapsed="false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customFormat="false" ht="15.75" hidden="false" customHeight="false" outlineLevel="0" collapsed="false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customFormat="false" ht="15.75" hidden="false" customHeight="false" outlineLevel="0" collapsed="false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customFormat="false" ht="15.75" hidden="false" customHeight="false" outlineLevel="0" collapsed="false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customFormat="false" ht="15.75" hidden="false" customHeight="false" outlineLevel="0" collapsed="false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customFormat="false" ht="15.75" hidden="false" customHeight="false" outlineLevel="0" collapsed="false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customFormat="false" ht="15.75" hidden="false" customHeight="false" outlineLevel="0" collapsed="false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customFormat="false" ht="15.75" hidden="false" customHeight="false" outlineLevel="0" collapsed="false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customFormat="false" ht="15.75" hidden="false" customHeight="false" outlineLevel="0" collapsed="false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customFormat="false" ht="15.75" hidden="false" customHeight="false" outlineLevel="0" collapsed="false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customFormat="false" ht="15.75" hidden="false" customHeight="false" outlineLevel="0" collapsed="false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customFormat="false" ht="15.75" hidden="false" customHeight="false" outlineLevel="0" collapsed="false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customFormat="false" ht="15.75" hidden="false" customHeight="false" outlineLevel="0" collapsed="false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customFormat="false" ht="15.75" hidden="false" customHeight="false" outlineLevel="0" collapsed="false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customFormat="false" ht="15.75" hidden="false" customHeight="false" outlineLevel="0" collapsed="false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customFormat="false" ht="15.75" hidden="false" customHeight="false" outlineLevel="0" collapsed="false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customFormat="false" ht="15.75" hidden="false" customHeight="false" outlineLevel="0" collapsed="false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customFormat="false" ht="15.75" hidden="false" customHeight="false" outlineLevel="0" collapsed="false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customFormat="false" ht="15.75" hidden="false" customHeight="false" outlineLevel="0" collapsed="false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customFormat="false" ht="15.75" hidden="false" customHeight="false" outlineLevel="0" collapsed="false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customFormat="false" ht="15.75" hidden="false" customHeight="false" outlineLevel="0" collapsed="false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customFormat="false" ht="15.75" hidden="false" customHeight="false" outlineLevel="0" collapsed="false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customFormat="false" ht="15.75" hidden="false" customHeight="false" outlineLevel="0" collapsed="false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customFormat="false" ht="15.75" hidden="false" customHeight="false" outlineLevel="0" collapsed="false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customFormat="false" ht="15.75" hidden="false" customHeight="false" outlineLevel="0" collapsed="false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customFormat="false" ht="15.75" hidden="false" customHeight="false" outlineLevel="0" collapsed="false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customFormat="false" ht="15.75" hidden="false" customHeight="false" outlineLevel="0" collapsed="false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customFormat="false" ht="15.75" hidden="false" customHeight="false" outlineLevel="0" collapsed="false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customFormat="false" ht="15.75" hidden="false" customHeight="false" outlineLevel="0" collapsed="false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customFormat="false" ht="15.75" hidden="false" customHeight="false" outlineLevel="0" collapsed="false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customFormat="false" ht="15.75" hidden="false" customHeight="false" outlineLevel="0" collapsed="false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customFormat="false" ht="15.75" hidden="false" customHeight="false" outlineLevel="0" collapsed="false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customFormat="false" ht="15.75" hidden="false" customHeight="false" outlineLevel="0" collapsed="false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customFormat="false" ht="15.75" hidden="false" customHeight="false" outlineLevel="0" collapsed="false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customFormat="false" ht="15.75" hidden="false" customHeight="false" outlineLevel="0" collapsed="false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customFormat="false" ht="15.75" hidden="false" customHeight="false" outlineLevel="0" collapsed="false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customFormat="false" ht="15.75" hidden="false" customHeight="false" outlineLevel="0" collapsed="false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customFormat="false" ht="15.75" hidden="false" customHeight="false" outlineLevel="0" collapsed="false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customFormat="false" ht="15.75" hidden="false" customHeight="false" outlineLevel="0" collapsed="false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customFormat="false" ht="15.75" hidden="false" customHeight="false" outlineLevel="0" collapsed="false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customFormat="false" ht="15.75" hidden="false" customHeight="false" outlineLevel="0" collapsed="false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customFormat="false" ht="15.75" hidden="false" customHeight="false" outlineLevel="0" collapsed="false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customFormat="false" ht="15.75" hidden="false" customHeight="false" outlineLevel="0" collapsed="false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customFormat="false" ht="15.75" hidden="false" customHeight="false" outlineLevel="0" collapsed="false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customFormat="false" ht="15.75" hidden="false" customHeight="false" outlineLevel="0" collapsed="false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customFormat="false" ht="15.75" hidden="false" customHeight="false" outlineLevel="0" collapsed="false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customFormat="false" ht="15.75" hidden="false" customHeight="false" outlineLevel="0" collapsed="false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customFormat="false" ht="15.75" hidden="false" customHeight="false" outlineLevel="0" collapsed="false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customFormat="false" ht="15.75" hidden="false" customHeight="false" outlineLevel="0" collapsed="false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customFormat="false" ht="15.75" hidden="false" customHeight="false" outlineLevel="0" collapsed="false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customFormat="false" ht="15.75" hidden="false" customHeight="false" outlineLevel="0" collapsed="false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customFormat="false" ht="15.75" hidden="false" customHeight="false" outlineLevel="0" collapsed="false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customFormat="false" ht="15.75" hidden="false" customHeight="false" outlineLevel="0" collapsed="false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customFormat="false" ht="15.75" hidden="false" customHeight="false" outlineLevel="0" collapsed="false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customFormat="false" ht="15.75" hidden="false" customHeight="false" outlineLevel="0" collapsed="false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customFormat="false" ht="15.75" hidden="false" customHeight="false" outlineLevel="0" collapsed="false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customFormat="false" ht="15.75" hidden="false" customHeight="false" outlineLevel="0" collapsed="false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customFormat="false" ht="15.75" hidden="false" customHeight="false" outlineLevel="0" collapsed="false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customFormat="false" ht="15.75" hidden="false" customHeight="false" outlineLevel="0" collapsed="false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customFormat="false" ht="15.75" hidden="false" customHeight="false" outlineLevel="0" collapsed="false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customFormat="false" ht="15.75" hidden="false" customHeight="false" outlineLevel="0" collapsed="false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customFormat="false" ht="15.75" hidden="false" customHeight="false" outlineLevel="0" collapsed="false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customFormat="false" ht="15.75" hidden="false" customHeight="false" outlineLevel="0" collapsed="false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customFormat="false" ht="15.75" hidden="false" customHeight="false" outlineLevel="0" collapsed="false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customFormat="false" ht="15.75" hidden="false" customHeight="false" outlineLevel="0" collapsed="false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customFormat="false" ht="15.75" hidden="false" customHeight="false" outlineLevel="0" collapsed="false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customFormat="false" ht="15.75" hidden="false" customHeight="false" outlineLevel="0" collapsed="false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customFormat="false" ht="15.75" hidden="false" customHeight="false" outlineLevel="0" collapsed="false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customFormat="false" ht="15.75" hidden="false" customHeight="false" outlineLevel="0" collapsed="false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customFormat="false" ht="15.75" hidden="false" customHeight="false" outlineLevel="0" collapsed="false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customFormat="false" ht="15.75" hidden="false" customHeight="false" outlineLevel="0" collapsed="false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customFormat="false" ht="15.75" hidden="false" customHeight="false" outlineLevel="0" collapsed="false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customFormat="false" ht="15.75" hidden="false" customHeight="false" outlineLevel="0" collapsed="false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customFormat="false" ht="15.75" hidden="false" customHeight="false" outlineLevel="0" collapsed="false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customFormat="false" ht="15.75" hidden="false" customHeight="false" outlineLevel="0" collapsed="false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customFormat="false" ht="15.75" hidden="false" customHeight="false" outlineLevel="0" collapsed="false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customFormat="false" ht="15.75" hidden="false" customHeight="false" outlineLevel="0" collapsed="false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customFormat="false" ht="15.75" hidden="false" customHeight="false" outlineLevel="0" collapsed="false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customFormat="false" ht="15.75" hidden="false" customHeight="false" outlineLevel="0" collapsed="false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customFormat="false" ht="15.75" hidden="false" customHeight="false" outlineLevel="0" collapsed="false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customFormat="false" ht="15.75" hidden="false" customHeight="false" outlineLevel="0" collapsed="false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customFormat="false" ht="15.75" hidden="false" customHeight="false" outlineLevel="0" collapsed="false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customFormat="false" ht="15.75" hidden="false" customHeight="false" outlineLevel="0" collapsed="false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customFormat="false" ht="15.75" hidden="false" customHeight="false" outlineLevel="0" collapsed="false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customFormat="false" ht="15.75" hidden="false" customHeight="false" outlineLevel="0" collapsed="false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customFormat="false" ht="15.75" hidden="false" customHeight="false" outlineLevel="0" collapsed="false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customFormat="false" ht="15.75" hidden="false" customHeight="false" outlineLevel="0" collapsed="false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customFormat="false" ht="15.75" hidden="false" customHeight="false" outlineLevel="0" collapsed="false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customFormat="false" ht="15.75" hidden="false" customHeight="false" outlineLevel="0" collapsed="false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customFormat="false" ht="15.75" hidden="false" customHeight="false" outlineLevel="0" collapsed="false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customFormat="false" ht="15.75" hidden="false" customHeight="false" outlineLevel="0" collapsed="false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customFormat="false" ht="15.75" hidden="false" customHeight="false" outlineLevel="0" collapsed="false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customFormat="false" ht="15.75" hidden="false" customHeight="false" outlineLevel="0" collapsed="false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customFormat="false" ht="15.75" hidden="false" customHeight="false" outlineLevel="0" collapsed="false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customFormat="false" ht="15.75" hidden="false" customHeight="false" outlineLevel="0" collapsed="false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customFormat="false" ht="15.75" hidden="false" customHeight="false" outlineLevel="0" collapsed="false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customFormat="false" ht="15.75" hidden="false" customHeight="false" outlineLevel="0" collapsed="false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customFormat="false" ht="15.75" hidden="false" customHeight="false" outlineLevel="0" collapsed="false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customFormat="false" ht="15.75" hidden="false" customHeight="false" outlineLevel="0" collapsed="false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customFormat="false" ht="15.75" hidden="false" customHeight="false" outlineLevel="0" collapsed="false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customFormat="false" ht="15.75" hidden="false" customHeight="false" outlineLevel="0" collapsed="false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customFormat="false" ht="15.75" hidden="false" customHeight="false" outlineLevel="0" collapsed="false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customFormat="false" ht="15.75" hidden="false" customHeight="false" outlineLevel="0" collapsed="false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customFormat="false" ht="15.75" hidden="false" customHeight="false" outlineLevel="0" collapsed="false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customFormat="false" ht="15.75" hidden="false" customHeight="false" outlineLevel="0" collapsed="false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customFormat="false" ht="15.75" hidden="false" customHeight="false" outlineLevel="0" collapsed="false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customFormat="false" ht="15.75" hidden="false" customHeight="false" outlineLevel="0" collapsed="false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customFormat="false" ht="15.75" hidden="false" customHeight="false" outlineLevel="0" collapsed="false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customFormat="false" ht="15.75" hidden="false" customHeight="false" outlineLevel="0" collapsed="false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customFormat="false" ht="15.75" hidden="false" customHeight="false" outlineLevel="0" collapsed="false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customFormat="false" ht="15.75" hidden="false" customHeight="false" outlineLevel="0" collapsed="false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customFormat="false" ht="15.75" hidden="false" customHeight="false" outlineLevel="0" collapsed="false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customFormat="false" ht="15.75" hidden="false" customHeight="false" outlineLevel="0" collapsed="false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customFormat="false" ht="15.75" hidden="false" customHeight="false" outlineLevel="0" collapsed="false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customFormat="false" ht="15.75" hidden="false" customHeight="false" outlineLevel="0" collapsed="false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customFormat="false" ht="15.75" hidden="false" customHeight="false" outlineLevel="0" collapsed="false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customFormat="false" ht="15.75" hidden="false" customHeight="false" outlineLevel="0" collapsed="false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customFormat="false" ht="15.75" hidden="false" customHeight="false" outlineLevel="0" collapsed="false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customFormat="false" ht="15.75" hidden="false" customHeight="false" outlineLevel="0" collapsed="false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customFormat="false" ht="15.75" hidden="false" customHeight="false" outlineLevel="0" collapsed="false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customFormat="false" ht="15.75" hidden="false" customHeight="false" outlineLevel="0" collapsed="false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customFormat="false" ht="15.75" hidden="false" customHeight="false" outlineLevel="0" collapsed="false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customFormat="false" ht="15.75" hidden="false" customHeight="false" outlineLevel="0" collapsed="false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customFormat="false" ht="15.75" hidden="false" customHeight="false" outlineLevel="0" collapsed="false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customFormat="false" ht="15.75" hidden="false" customHeight="false" outlineLevel="0" collapsed="false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customFormat="false" ht="15.75" hidden="false" customHeight="false" outlineLevel="0" collapsed="false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customFormat="false" ht="15.75" hidden="false" customHeight="false" outlineLevel="0" collapsed="false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customFormat="false" ht="15.75" hidden="false" customHeight="false" outlineLevel="0" collapsed="false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customFormat="false" ht="15.75" hidden="false" customHeight="false" outlineLevel="0" collapsed="false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customFormat="false" ht="15.75" hidden="false" customHeight="false" outlineLevel="0" collapsed="false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customFormat="false" ht="15.75" hidden="false" customHeight="false" outlineLevel="0" collapsed="false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customFormat="false" ht="15.75" hidden="false" customHeight="false" outlineLevel="0" collapsed="false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customFormat="false" ht="15.75" hidden="false" customHeight="false" outlineLevel="0" collapsed="false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customFormat="false" ht="15.75" hidden="false" customHeight="false" outlineLevel="0" collapsed="false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customFormat="false" ht="15.75" hidden="false" customHeight="false" outlineLevel="0" collapsed="false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customFormat="false" ht="15.75" hidden="false" customHeight="false" outlineLevel="0" collapsed="false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customFormat="false" ht="15.75" hidden="false" customHeight="false" outlineLevel="0" collapsed="false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customFormat="false" ht="15.75" hidden="false" customHeight="false" outlineLevel="0" collapsed="false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customFormat="false" ht="15.75" hidden="false" customHeight="false" outlineLevel="0" collapsed="false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customFormat="false" ht="15.75" hidden="false" customHeight="false" outlineLevel="0" collapsed="false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customFormat="false" ht="15.75" hidden="false" customHeight="false" outlineLevel="0" collapsed="false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customFormat="false" ht="15.75" hidden="false" customHeight="false" outlineLevel="0" collapsed="false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customFormat="false" ht="15.75" hidden="false" customHeight="false" outlineLevel="0" collapsed="false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customFormat="false" ht="15.75" hidden="false" customHeight="false" outlineLevel="0" collapsed="false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customFormat="false" ht="15.75" hidden="false" customHeight="false" outlineLevel="0" collapsed="false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customFormat="false" ht="15.75" hidden="false" customHeight="false" outlineLevel="0" collapsed="false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customFormat="false" ht="15.75" hidden="false" customHeight="false" outlineLevel="0" collapsed="false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customFormat="false" ht="15.75" hidden="false" customHeight="false" outlineLevel="0" collapsed="false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customFormat="false" ht="15.75" hidden="false" customHeight="false" outlineLevel="0" collapsed="false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customFormat="false" ht="15.75" hidden="false" customHeight="false" outlineLevel="0" collapsed="false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customFormat="false" ht="15.75" hidden="false" customHeight="false" outlineLevel="0" collapsed="false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customFormat="false" ht="15.75" hidden="false" customHeight="false" outlineLevel="0" collapsed="false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customFormat="false" ht="15.75" hidden="false" customHeight="false" outlineLevel="0" collapsed="false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customFormat="false" ht="15.75" hidden="false" customHeight="false" outlineLevel="0" collapsed="false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customFormat="false" ht="15.75" hidden="false" customHeight="false" outlineLevel="0" collapsed="false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customFormat="false" ht="15.75" hidden="false" customHeight="false" outlineLevel="0" collapsed="false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customFormat="false" ht="15.75" hidden="false" customHeight="false" outlineLevel="0" collapsed="false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customFormat="false" ht="15.75" hidden="false" customHeight="false" outlineLevel="0" collapsed="false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customFormat="false" ht="15.75" hidden="false" customHeight="false" outlineLevel="0" collapsed="false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customFormat="false" ht="15.75" hidden="false" customHeight="false" outlineLevel="0" collapsed="false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customFormat="false" ht="15.75" hidden="false" customHeight="false" outlineLevel="0" collapsed="false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customFormat="false" ht="15.75" hidden="false" customHeight="false" outlineLevel="0" collapsed="false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customFormat="false" ht="15.75" hidden="false" customHeight="false" outlineLevel="0" collapsed="false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customFormat="false" ht="15.75" hidden="false" customHeight="false" outlineLevel="0" collapsed="false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customFormat="false" ht="15.75" hidden="false" customHeight="false" outlineLevel="0" collapsed="false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customFormat="false" ht="15.75" hidden="false" customHeight="false" outlineLevel="0" collapsed="false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customFormat="false" ht="15.75" hidden="false" customHeight="false" outlineLevel="0" collapsed="false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customFormat="false" ht="15.75" hidden="false" customHeight="false" outlineLevel="0" collapsed="false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customFormat="false" ht="15.75" hidden="false" customHeight="false" outlineLevel="0" collapsed="false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customFormat="false" ht="15.75" hidden="false" customHeight="false" outlineLevel="0" collapsed="false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customFormat="false" ht="15.75" hidden="false" customHeight="false" outlineLevel="0" collapsed="false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customFormat="false" ht="15.75" hidden="false" customHeight="false" outlineLevel="0" collapsed="false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customFormat="false" ht="15.75" hidden="false" customHeight="false" outlineLevel="0" collapsed="false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customFormat="false" ht="15.75" hidden="false" customHeight="false" outlineLevel="0" collapsed="false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customFormat="false" ht="15.75" hidden="false" customHeight="false" outlineLevel="0" collapsed="false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customFormat="false" ht="15.75" hidden="false" customHeight="false" outlineLevel="0" collapsed="false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customFormat="false" ht="15.75" hidden="false" customHeight="false" outlineLevel="0" collapsed="false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customFormat="false" ht="15.75" hidden="false" customHeight="false" outlineLevel="0" collapsed="false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customFormat="false" ht="15.75" hidden="false" customHeight="false" outlineLevel="0" collapsed="false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customFormat="false" ht="15.75" hidden="false" customHeight="false" outlineLevel="0" collapsed="false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customFormat="false" ht="15.75" hidden="false" customHeight="false" outlineLevel="0" collapsed="false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customFormat="false" ht="15.75" hidden="false" customHeight="false" outlineLevel="0" collapsed="false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customFormat="false" ht="15.75" hidden="false" customHeight="false" outlineLevel="0" collapsed="false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customFormat="false" ht="15.75" hidden="false" customHeight="false" outlineLevel="0" collapsed="false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customFormat="false" ht="15.75" hidden="false" customHeight="false" outlineLevel="0" collapsed="false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customFormat="false" ht="15.75" hidden="false" customHeight="false" outlineLevel="0" collapsed="false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customFormat="false" ht="15.75" hidden="false" customHeight="false" outlineLevel="0" collapsed="false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customFormat="false" ht="15.75" hidden="false" customHeight="false" outlineLevel="0" collapsed="false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customFormat="false" ht="15.75" hidden="false" customHeight="false" outlineLevel="0" collapsed="false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customFormat="false" ht="15.75" hidden="false" customHeight="false" outlineLevel="0" collapsed="false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customFormat="false" ht="15.75" hidden="false" customHeight="false" outlineLevel="0" collapsed="false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customFormat="false" ht="15.75" hidden="false" customHeight="false" outlineLevel="0" collapsed="false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customFormat="false" ht="15.75" hidden="false" customHeight="false" outlineLevel="0" collapsed="false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customFormat="false" ht="15.75" hidden="false" customHeight="false" outlineLevel="0" collapsed="false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customFormat="false" ht="15.75" hidden="false" customHeight="false" outlineLevel="0" collapsed="false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customFormat="false" ht="15.75" hidden="false" customHeight="false" outlineLevel="0" collapsed="false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customFormat="false" ht="15.75" hidden="false" customHeight="false" outlineLevel="0" collapsed="false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customFormat="false" ht="15.75" hidden="false" customHeight="false" outlineLevel="0" collapsed="false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customFormat="false" ht="15.75" hidden="false" customHeight="false" outlineLevel="0" collapsed="false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customFormat="false" ht="15.75" hidden="false" customHeight="false" outlineLevel="0" collapsed="false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customFormat="false" ht="15.75" hidden="false" customHeight="false" outlineLevel="0" collapsed="false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customFormat="false" ht="15.75" hidden="false" customHeight="false" outlineLevel="0" collapsed="false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customFormat="false" ht="15.75" hidden="false" customHeight="false" outlineLevel="0" collapsed="false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customFormat="false" ht="15.75" hidden="false" customHeight="false" outlineLevel="0" collapsed="false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customFormat="false" ht="15.75" hidden="false" customHeight="false" outlineLevel="0" collapsed="false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customFormat="false" ht="15.75" hidden="false" customHeight="false" outlineLevel="0" collapsed="false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customFormat="false" ht="15.75" hidden="false" customHeight="false" outlineLevel="0" collapsed="false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customFormat="false" ht="15.75" hidden="false" customHeight="false" outlineLevel="0" collapsed="false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customFormat="false" ht="15.75" hidden="false" customHeight="false" outlineLevel="0" collapsed="false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customFormat="false" ht="15.75" hidden="false" customHeight="false" outlineLevel="0" collapsed="false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customFormat="false" ht="15.75" hidden="false" customHeight="false" outlineLevel="0" collapsed="false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customFormat="false" ht="15.75" hidden="false" customHeight="false" outlineLevel="0" collapsed="false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customFormat="false" ht="15.75" hidden="false" customHeight="false" outlineLevel="0" collapsed="false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customFormat="false" ht="15.75" hidden="false" customHeight="false" outlineLevel="0" collapsed="false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customFormat="false" ht="15.75" hidden="false" customHeight="false" outlineLevel="0" collapsed="false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customFormat="false" ht="15.75" hidden="false" customHeight="false" outlineLevel="0" collapsed="false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customFormat="false" ht="15.75" hidden="false" customHeight="false" outlineLevel="0" collapsed="false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customFormat="false" ht="15.75" hidden="false" customHeight="false" outlineLevel="0" collapsed="false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customFormat="false" ht="15.75" hidden="false" customHeight="false" outlineLevel="0" collapsed="false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customFormat="false" ht="15.75" hidden="false" customHeight="false" outlineLevel="0" collapsed="false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customFormat="false" ht="15.75" hidden="false" customHeight="false" outlineLevel="0" collapsed="false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customFormat="false" ht="15.75" hidden="false" customHeight="false" outlineLevel="0" collapsed="false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customFormat="false" ht="15.75" hidden="false" customHeight="false" outlineLevel="0" collapsed="false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customFormat="false" ht="15.75" hidden="false" customHeight="false" outlineLevel="0" collapsed="false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customFormat="false" ht="15.75" hidden="false" customHeight="false" outlineLevel="0" collapsed="false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customFormat="false" ht="15.75" hidden="false" customHeight="false" outlineLevel="0" collapsed="false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customFormat="false" ht="15.75" hidden="false" customHeight="false" outlineLevel="0" collapsed="false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customFormat="false" ht="15.75" hidden="false" customHeight="false" outlineLevel="0" collapsed="false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customFormat="false" ht="15.75" hidden="false" customHeight="false" outlineLevel="0" collapsed="false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customFormat="false" ht="15.75" hidden="false" customHeight="false" outlineLevel="0" collapsed="false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customFormat="false" ht="15.75" hidden="false" customHeight="false" outlineLevel="0" collapsed="false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customFormat="false" ht="15.75" hidden="false" customHeight="false" outlineLevel="0" collapsed="false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customFormat="false" ht="15.75" hidden="false" customHeight="false" outlineLevel="0" collapsed="false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customFormat="false" ht="15.75" hidden="false" customHeight="false" outlineLevel="0" collapsed="false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customFormat="false" ht="15.75" hidden="false" customHeight="false" outlineLevel="0" collapsed="false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customFormat="false" ht="15.75" hidden="false" customHeight="false" outlineLevel="0" collapsed="false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customFormat="false" ht="15.75" hidden="false" customHeight="false" outlineLevel="0" collapsed="false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customFormat="false" ht="15.75" hidden="false" customHeight="false" outlineLevel="0" collapsed="false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customFormat="false" ht="15.75" hidden="false" customHeight="false" outlineLevel="0" collapsed="false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customFormat="false" ht="15.75" hidden="false" customHeight="false" outlineLevel="0" collapsed="false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customFormat="false" ht="15.75" hidden="false" customHeight="false" outlineLevel="0" collapsed="false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customFormat="false" ht="15.75" hidden="false" customHeight="false" outlineLevel="0" collapsed="false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customFormat="false" ht="15.75" hidden="false" customHeight="false" outlineLevel="0" collapsed="false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customFormat="false" ht="15.75" hidden="false" customHeight="false" outlineLevel="0" collapsed="false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customFormat="false" ht="15.75" hidden="false" customHeight="false" outlineLevel="0" collapsed="false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customFormat="false" ht="15.75" hidden="false" customHeight="false" outlineLevel="0" collapsed="false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customFormat="false" ht="15.75" hidden="false" customHeight="false" outlineLevel="0" collapsed="false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customFormat="false" ht="15.75" hidden="false" customHeight="false" outlineLevel="0" collapsed="false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customFormat="false" ht="15.75" hidden="false" customHeight="false" outlineLevel="0" collapsed="false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customFormat="false" ht="15.75" hidden="false" customHeight="false" outlineLevel="0" collapsed="false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customFormat="false" ht="15.75" hidden="false" customHeight="false" outlineLevel="0" collapsed="false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customFormat="false" ht="15.75" hidden="false" customHeight="false" outlineLevel="0" collapsed="false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customFormat="false" ht="15.75" hidden="false" customHeight="false" outlineLevel="0" collapsed="false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customFormat="false" ht="15.75" hidden="false" customHeight="false" outlineLevel="0" collapsed="false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customFormat="false" ht="15.75" hidden="false" customHeight="false" outlineLevel="0" collapsed="false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customFormat="false" ht="15.75" hidden="false" customHeight="false" outlineLevel="0" collapsed="false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customFormat="false" ht="15.75" hidden="false" customHeight="false" outlineLevel="0" collapsed="false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customFormat="false" ht="15.75" hidden="false" customHeight="false" outlineLevel="0" collapsed="false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customFormat="false" ht="15.75" hidden="false" customHeight="false" outlineLevel="0" collapsed="false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customFormat="false" ht="15.75" hidden="false" customHeight="false" outlineLevel="0" collapsed="false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customFormat="false" ht="15.75" hidden="false" customHeight="false" outlineLevel="0" collapsed="false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customFormat="false" ht="15.75" hidden="false" customHeight="false" outlineLevel="0" collapsed="false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customFormat="false" ht="15.75" hidden="false" customHeight="false" outlineLevel="0" collapsed="false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customFormat="false" ht="15.75" hidden="false" customHeight="false" outlineLevel="0" collapsed="false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customFormat="false" ht="15.75" hidden="false" customHeight="false" outlineLevel="0" collapsed="false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customFormat="false" ht="15.75" hidden="false" customHeight="false" outlineLevel="0" collapsed="false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customFormat="false" ht="15.75" hidden="false" customHeight="false" outlineLevel="0" collapsed="false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customFormat="false" ht="15.75" hidden="false" customHeight="false" outlineLevel="0" collapsed="false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customFormat="false" ht="15.75" hidden="false" customHeight="false" outlineLevel="0" collapsed="false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customFormat="false" ht="15.75" hidden="false" customHeight="false" outlineLevel="0" collapsed="false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customFormat="false" ht="15.75" hidden="false" customHeight="false" outlineLevel="0" collapsed="false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customFormat="false" ht="15.75" hidden="false" customHeight="false" outlineLevel="0" collapsed="false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customFormat="false" ht="15.75" hidden="false" customHeight="false" outlineLevel="0" collapsed="false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customFormat="false" ht="15.75" hidden="false" customHeight="false" outlineLevel="0" collapsed="false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customFormat="false" ht="15.75" hidden="false" customHeight="false" outlineLevel="0" collapsed="false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customFormat="false" ht="15.75" hidden="false" customHeight="false" outlineLevel="0" collapsed="false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customFormat="false" ht="15.75" hidden="false" customHeight="false" outlineLevel="0" collapsed="false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customFormat="false" ht="15.75" hidden="false" customHeight="false" outlineLevel="0" collapsed="false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customFormat="false" ht="15.75" hidden="false" customHeight="false" outlineLevel="0" collapsed="false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customFormat="false" ht="15.75" hidden="false" customHeight="false" outlineLevel="0" collapsed="false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customFormat="false" ht="15.75" hidden="false" customHeight="false" outlineLevel="0" collapsed="false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customFormat="false" ht="15.75" hidden="false" customHeight="false" outlineLevel="0" collapsed="false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customFormat="false" ht="15.75" hidden="false" customHeight="false" outlineLevel="0" collapsed="false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customFormat="false" ht="15.75" hidden="false" customHeight="false" outlineLevel="0" collapsed="false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customFormat="false" ht="15.75" hidden="false" customHeight="false" outlineLevel="0" collapsed="false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customFormat="false" ht="15.75" hidden="false" customHeight="false" outlineLevel="0" collapsed="false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customFormat="false" ht="15.75" hidden="false" customHeight="false" outlineLevel="0" collapsed="false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customFormat="false" ht="15.75" hidden="false" customHeight="false" outlineLevel="0" collapsed="false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customFormat="false" ht="15.75" hidden="false" customHeight="false" outlineLevel="0" collapsed="false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customFormat="false" ht="15.75" hidden="false" customHeight="false" outlineLevel="0" collapsed="false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customFormat="false" ht="15.75" hidden="false" customHeight="false" outlineLevel="0" collapsed="false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customFormat="false" ht="15.75" hidden="false" customHeight="false" outlineLevel="0" collapsed="false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customFormat="false" ht="15.75" hidden="false" customHeight="false" outlineLevel="0" collapsed="false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customFormat="false" ht="15.75" hidden="false" customHeight="false" outlineLevel="0" collapsed="false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customFormat="false" ht="15.75" hidden="false" customHeight="false" outlineLevel="0" collapsed="false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customFormat="false" ht="15.75" hidden="false" customHeight="false" outlineLevel="0" collapsed="false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customFormat="false" ht="15.75" hidden="false" customHeight="false" outlineLevel="0" collapsed="false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customFormat="false" ht="15.75" hidden="false" customHeight="false" outlineLevel="0" collapsed="false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customFormat="false" ht="15.75" hidden="false" customHeight="false" outlineLevel="0" collapsed="false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customFormat="false" ht="15.75" hidden="false" customHeight="false" outlineLevel="0" collapsed="false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customFormat="false" ht="15.75" hidden="false" customHeight="false" outlineLevel="0" collapsed="false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customFormat="false" ht="15.75" hidden="false" customHeight="false" outlineLevel="0" collapsed="false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customFormat="false" ht="15.75" hidden="false" customHeight="false" outlineLevel="0" collapsed="false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customFormat="false" ht="15.75" hidden="false" customHeight="false" outlineLevel="0" collapsed="false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customFormat="false" ht="15.75" hidden="false" customHeight="false" outlineLevel="0" collapsed="false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customFormat="false" ht="15.75" hidden="false" customHeight="false" outlineLevel="0" collapsed="false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customFormat="false" ht="15.75" hidden="false" customHeight="false" outlineLevel="0" collapsed="false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customFormat="false" ht="15.75" hidden="false" customHeight="false" outlineLevel="0" collapsed="false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customFormat="false" ht="15.75" hidden="false" customHeight="false" outlineLevel="0" collapsed="false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customFormat="false" ht="15.75" hidden="false" customHeight="false" outlineLevel="0" collapsed="false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customFormat="false" ht="15.75" hidden="false" customHeight="false" outlineLevel="0" collapsed="false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customFormat="false" ht="15.75" hidden="false" customHeight="false" outlineLevel="0" collapsed="false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customFormat="false" ht="15.75" hidden="false" customHeight="false" outlineLevel="0" collapsed="false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customFormat="false" ht="15.75" hidden="false" customHeight="false" outlineLevel="0" collapsed="false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customFormat="false" ht="15.75" hidden="false" customHeight="false" outlineLevel="0" collapsed="false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customFormat="false" ht="15.75" hidden="false" customHeight="false" outlineLevel="0" collapsed="false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customFormat="false" ht="15.75" hidden="false" customHeight="false" outlineLevel="0" collapsed="false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customFormat="false" ht="15.75" hidden="false" customHeight="false" outlineLevel="0" collapsed="false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customFormat="false" ht="15.75" hidden="false" customHeight="false" outlineLevel="0" collapsed="false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customFormat="false" ht="15.75" hidden="false" customHeight="false" outlineLevel="0" collapsed="false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customFormat="false" ht="15.75" hidden="false" customHeight="false" outlineLevel="0" collapsed="false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customFormat="false" ht="15.75" hidden="false" customHeight="false" outlineLevel="0" collapsed="false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customFormat="false" ht="15.75" hidden="false" customHeight="false" outlineLevel="0" collapsed="false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customFormat="false" ht="15.75" hidden="false" customHeight="false" outlineLevel="0" collapsed="false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customFormat="false" ht="15.75" hidden="false" customHeight="false" outlineLevel="0" collapsed="false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customFormat="false" ht="15.75" hidden="false" customHeight="false" outlineLevel="0" collapsed="false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customFormat="false" ht="15.75" hidden="false" customHeight="false" outlineLevel="0" collapsed="false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customFormat="false" ht="15.75" hidden="false" customHeight="false" outlineLevel="0" collapsed="false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customFormat="false" ht="15.75" hidden="false" customHeight="false" outlineLevel="0" collapsed="false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customFormat="false" ht="15.75" hidden="false" customHeight="false" outlineLevel="0" collapsed="false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customFormat="false" ht="15.75" hidden="false" customHeight="false" outlineLevel="0" collapsed="false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customFormat="false" ht="15.75" hidden="false" customHeight="false" outlineLevel="0" collapsed="false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customFormat="false" ht="15.75" hidden="false" customHeight="false" outlineLevel="0" collapsed="false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customFormat="false" ht="15.75" hidden="false" customHeight="false" outlineLevel="0" collapsed="false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customFormat="false" ht="15.75" hidden="false" customHeight="false" outlineLevel="0" collapsed="false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customFormat="false" ht="15.75" hidden="false" customHeight="false" outlineLevel="0" collapsed="false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customFormat="false" ht="15.75" hidden="false" customHeight="false" outlineLevel="0" collapsed="false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customFormat="false" ht="15.75" hidden="false" customHeight="false" outlineLevel="0" collapsed="false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customFormat="false" ht="15.75" hidden="false" customHeight="false" outlineLevel="0" collapsed="false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customFormat="false" ht="15.75" hidden="false" customHeight="false" outlineLevel="0" collapsed="false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customFormat="false" ht="15.75" hidden="false" customHeight="false" outlineLevel="0" collapsed="false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customFormat="false" ht="15.75" hidden="false" customHeight="false" outlineLevel="0" collapsed="false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customFormat="false" ht="15.75" hidden="false" customHeight="false" outlineLevel="0" collapsed="false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customFormat="false" ht="15.75" hidden="false" customHeight="false" outlineLevel="0" collapsed="false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customFormat="false" ht="15.75" hidden="false" customHeight="false" outlineLevel="0" collapsed="false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customFormat="false" ht="15.75" hidden="false" customHeight="false" outlineLevel="0" collapsed="false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customFormat="false" ht="15.75" hidden="false" customHeight="false" outlineLevel="0" collapsed="false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customFormat="false" ht="15.75" hidden="false" customHeight="false" outlineLevel="0" collapsed="false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customFormat="false" ht="15.75" hidden="false" customHeight="false" outlineLevel="0" collapsed="false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customFormat="false" ht="15.75" hidden="false" customHeight="false" outlineLevel="0" collapsed="false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customFormat="false" ht="15.75" hidden="false" customHeight="false" outlineLevel="0" collapsed="false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customFormat="false" ht="15.75" hidden="false" customHeight="false" outlineLevel="0" collapsed="false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customFormat="false" ht="15.75" hidden="false" customHeight="false" outlineLevel="0" collapsed="false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customFormat="false" ht="15.75" hidden="false" customHeight="false" outlineLevel="0" collapsed="false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customFormat="false" ht="15.75" hidden="false" customHeight="false" outlineLevel="0" collapsed="false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customFormat="false" ht="15.75" hidden="false" customHeight="false" outlineLevel="0" collapsed="false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customFormat="false" ht="15.75" hidden="false" customHeight="false" outlineLevel="0" collapsed="false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customFormat="false" ht="15.75" hidden="false" customHeight="false" outlineLevel="0" collapsed="false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customFormat="false" ht="15.75" hidden="false" customHeight="false" outlineLevel="0" collapsed="false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customFormat="false" ht="15.75" hidden="false" customHeight="false" outlineLevel="0" collapsed="false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customFormat="false" ht="15.75" hidden="false" customHeight="false" outlineLevel="0" collapsed="false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customFormat="false" ht="15.75" hidden="false" customHeight="false" outlineLevel="0" collapsed="false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customFormat="false" ht="15.75" hidden="false" customHeight="false" outlineLevel="0" collapsed="false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customFormat="false" ht="15.75" hidden="false" customHeight="false" outlineLevel="0" collapsed="false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customFormat="false" ht="15.75" hidden="false" customHeight="false" outlineLevel="0" collapsed="false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customFormat="false" ht="15.75" hidden="false" customHeight="false" outlineLevel="0" collapsed="false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customFormat="false" ht="15.75" hidden="false" customHeight="false" outlineLevel="0" collapsed="false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customFormat="false" ht="15.75" hidden="false" customHeight="false" outlineLevel="0" collapsed="false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customFormat="false" ht="15.75" hidden="false" customHeight="false" outlineLevel="0" collapsed="false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customFormat="false" ht="15.75" hidden="false" customHeight="false" outlineLevel="0" collapsed="false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customFormat="false" ht="15.75" hidden="false" customHeight="false" outlineLevel="0" collapsed="false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customFormat="false" ht="15.75" hidden="false" customHeight="false" outlineLevel="0" collapsed="false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customFormat="false" ht="15.75" hidden="false" customHeight="false" outlineLevel="0" collapsed="false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customFormat="false" ht="15.75" hidden="false" customHeight="false" outlineLevel="0" collapsed="false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customFormat="false" ht="15.75" hidden="false" customHeight="false" outlineLevel="0" collapsed="false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customFormat="false" ht="15.75" hidden="false" customHeight="false" outlineLevel="0" collapsed="false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customFormat="false" ht="15.75" hidden="false" customHeight="false" outlineLevel="0" collapsed="false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customFormat="false" ht="15.75" hidden="false" customHeight="false" outlineLevel="0" collapsed="false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customFormat="false" ht="15.75" hidden="false" customHeight="false" outlineLevel="0" collapsed="false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customFormat="false" ht="15.75" hidden="false" customHeight="false" outlineLevel="0" collapsed="false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customFormat="false" ht="15.75" hidden="false" customHeight="false" outlineLevel="0" collapsed="false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customFormat="false" ht="15.75" hidden="false" customHeight="false" outlineLevel="0" collapsed="false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customFormat="false" ht="15.75" hidden="false" customHeight="false" outlineLevel="0" collapsed="false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customFormat="false" ht="15.75" hidden="false" customHeight="false" outlineLevel="0" collapsed="false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customFormat="false" ht="15.75" hidden="false" customHeight="false" outlineLevel="0" collapsed="false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customFormat="false" ht="15.75" hidden="false" customHeight="false" outlineLevel="0" collapsed="false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customFormat="false" ht="15.75" hidden="false" customHeight="false" outlineLevel="0" collapsed="false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customFormat="false" ht="15.75" hidden="false" customHeight="false" outlineLevel="0" collapsed="false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customFormat="false" ht="15.75" hidden="false" customHeight="false" outlineLevel="0" collapsed="false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customFormat="false" ht="15.75" hidden="false" customHeight="false" outlineLevel="0" collapsed="false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customFormat="false" ht="15.75" hidden="false" customHeight="false" outlineLevel="0" collapsed="false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customFormat="false" ht="15.75" hidden="false" customHeight="false" outlineLevel="0" collapsed="false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customFormat="false" ht="15.75" hidden="false" customHeight="false" outlineLevel="0" collapsed="false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customFormat="false" ht="15.75" hidden="false" customHeight="false" outlineLevel="0" collapsed="false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customFormat="false" ht="15.75" hidden="false" customHeight="false" outlineLevel="0" collapsed="false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customFormat="false" ht="15.75" hidden="false" customHeight="false" outlineLevel="0" collapsed="false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customFormat="false" ht="15.75" hidden="false" customHeight="false" outlineLevel="0" collapsed="false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customFormat="false" ht="15.75" hidden="false" customHeight="false" outlineLevel="0" collapsed="false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customFormat="false" ht="15.75" hidden="false" customHeight="false" outlineLevel="0" collapsed="false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customFormat="false" ht="15.75" hidden="false" customHeight="false" outlineLevel="0" collapsed="false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customFormat="false" ht="15.75" hidden="false" customHeight="false" outlineLevel="0" collapsed="false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customFormat="false" ht="15.75" hidden="false" customHeight="false" outlineLevel="0" collapsed="false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customFormat="false" ht="15.75" hidden="false" customHeight="false" outlineLevel="0" collapsed="false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customFormat="false" ht="15.75" hidden="false" customHeight="false" outlineLevel="0" collapsed="false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customFormat="false" ht="15.75" hidden="false" customHeight="false" outlineLevel="0" collapsed="false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customFormat="false" ht="15.75" hidden="false" customHeight="false" outlineLevel="0" collapsed="false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customFormat="false" ht="15.75" hidden="false" customHeight="false" outlineLevel="0" collapsed="false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customFormat="false" ht="15.75" hidden="false" customHeight="false" outlineLevel="0" collapsed="false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customFormat="false" ht="15.75" hidden="false" customHeight="false" outlineLevel="0" collapsed="false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customFormat="false" ht="15.75" hidden="false" customHeight="false" outlineLevel="0" collapsed="false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customFormat="false" ht="15.75" hidden="false" customHeight="false" outlineLevel="0" collapsed="false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customFormat="false" ht="15.75" hidden="false" customHeight="false" outlineLevel="0" collapsed="false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customFormat="false" ht="15.75" hidden="false" customHeight="false" outlineLevel="0" collapsed="false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customFormat="false" ht="15.75" hidden="false" customHeight="false" outlineLevel="0" collapsed="false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customFormat="false" ht="15.75" hidden="false" customHeight="false" outlineLevel="0" collapsed="false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customFormat="false" ht="15.75" hidden="false" customHeight="false" outlineLevel="0" collapsed="false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customFormat="false" ht="15.75" hidden="false" customHeight="false" outlineLevel="0" collapsed="false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customFormat="false" ht="15.75" hidden="false" customHeight="false" outlineLevel="0" collapsed="false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customFormat="false" ht="15.75" hidden="false" customHeight="false" outlineLevel="0" collapsed="false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customFormat="false" ht="15.75" hidden="false" customHeight="false" outlineLevel="0" collapsed="false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customFormat="false" ht="15.75" hidden="false" customHeight="false" outlineLevel="0" collapsed="false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customFormat="false" ht="15.75" hidden="false" customHeight="false" outlineLevel="0" collapsed="false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customFormat="false" ht="15.75" hidden="false" customHeight="false" outlineLevel="0" collapsed="false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customFormat="false" ht="15.75" hidden="false" customHeight="false" outlineLevel="0" collapsed="false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customFormat="false" ht="15.75" hidden="false" customHeight="false" outlineLevel="0" collapsed="false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customFormat="false" ht="15.75" hidden="false" customHeight="false" outlineLevel="0" collapsed="false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customFormat="false" ht="15.75" hidden="false" customHeight="false" outlineLevel="0" collapsed="false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customFormat="false" ht="15.75" hidden="false" customHeight="false" outlineLevel="0" collapsed="false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customFormat="false" ht="15.75" hidden="false" customHeight="false" outlineLevel="0" collapsed="false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customFormat="false" ht="15.75" hidden="false" customHeight="false" outlineLevel="0" collapsed="false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customFormat="false" ht="15.75" hidden="false" customHeight="false" outlineLevel="0" collapsed="false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customFormat="false" ht="15.75" hidden="false" customHeight="false" outlineLevel="0" collapsed="false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customFormat="false" ht="15.75" hidden="false" customHeight="false" outlineLevel="0" collapsed="false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customFormat="false" ht="15.75" hidden="false" customHeight="false" outlineLevel="0" collapsed="false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customFormat="false" ht="15.75" hidden="false" customHeight="false" outlineLevel="0" collapsed="false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customFormat="false" ht="15.75" hidden="false" customHeight="false" outlineLevel="0" collapsed="false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customFormat="false" ht="15.75" hidden="false" customHeight="false" outlineLevel="0" collapsed="false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customFormat="false" ht="15.75" hidden="false" customHeight="false" outlineLevel="0" collapsed="false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customFormat="false" ht="15.75" hidden="false" customHeight="false" outlineLevel="0" collapsed="false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customFormat="false" ht="15.75" hidden="false" customHeight="false" outlineLevel="0" collapsed="false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customFormat="false" ht="15.75" hidden="false" customHeight="false" outlineLevel="0" collapsed="false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customFormat="false" ht="15.75" hidden="false" customHeight="false" outlineLevel="0" collapsed="false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6">
    <mergeCell ref="A1:I1"/>
    <mergeCell ref="A3:A4"/>
    <mergeCell ref="B3:C3"/>
    <mergeCell ref="D3:E3"/>
    <mergeCell ref="F3:G3"/>
    <mergeCell ref="H3:I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