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ต.ค. 68" sheetId="1" state="visible" r:id="rId3"/>
    <sheet name="พ.ย.68" sheetId="2" state="visible" r:id="rId4"/>
    <sheet name="ธ.ค. 68" sheetId="3" state="visible" r:id="rId5"/>
    <sheet name="ม.ค.69" sheetId="4" state="visible" r:id="rId6"/>
    <sheet name="ก.พ.69" sheetId="5" state="visible" r:id="rId7"/>
    <sheet name="มี.ค.69" sheetId="6" state="visible" r:id="rId8"/>
    <sheet name="เม.ย.69" sheetId="7" state="visible" r:id="rId9"/>
    <sheet name="พ.ค.69" sheetId="8" state="visible" r:id="rId10"/>
    <sheet name="มิ.ย.69" sheetId="9" state="visible" r:id="rId11"/>
    <sheet name="ก.ค.69" sheetId="10" state="visible" r:id="rId12"/>
    <sheet name="ส.ค.69" sheetId="11" state="visible" r:id="rId13"/>
    <sheet name="ก.ย. 69" sheetId="12" state="visible" r:id="rId14"/>
    <sheet name="สรุปยอด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<sst xmlns="http://schemas.openxmlformats.org/spreadsheetml/2006/main" count="1383" uniqueCount="498">
  <si>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ตุลาคม </t>
    </r>
    <r>
      <rPr>
        <b val="true"/>
        <sz val="16"/>
        <color theme="1"/>
        <rFont val="TH SarabunPSK"/>
        <family val="0"/>
        <charset val="1"/>
      </rPr>
      <t xml:space="preserve">2568</t>
    </r>
  </si>
  <si>
    <t xml:space="preserve">วันที่ชำระ</t>
  </si>
  <si>
    <r>
      <rPr>
        <b val="true"/>
        <sz val="16"/>
        <color theme="1"/>
        <rFont val="Arial"/>
        <family val="0"/>
        <charset val="1"/>
      </rPr>
      <t xml:space="preserve">นำรายได้ ส่ง คพ</t>
    </r>
    <r>
      <rPr>
        <b val="true"/>
        <sz val="16"/>
        <color theme="1"/>
        <rFont val="TH SarabunPSK"/>
        <family val="0"/>
        <charset val="1"/>
      </rPr>
      <t xml:space="preserve">. (</t>
    </r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Trade)</t>
    </r>
  </si>
  <si>
    <t xml:space="preserve">หมายเหตุ</t>
  </si>
  <si>
    <r>
      <rPr>
        <b val="true"/>
        <sz val="16"/>
        <color theme="1"/>
        <rFont val="Arial"/>
        <family val="0"/>
        <charset val="1"/>
      </rPr>
      <t xml:space="preserve">พน</t>
    </r>
    <r>
      <rPr>
        <b val="true"/>
        <sz val="16"/>
        <color theme="1"/>
        <rFont val="TH SarabunPSK"/>
        <family val="0"/>
        <charset val="1"/>
      </rPr>
      <t xml:space="preserve">0401.1/ </t>
    </r>
  </si>
  <si>
    <t xml:space="preserve"> วันที่ส่ง</t>
  </si>
  <si>
    <t xml:space="preserve">จาก</t>
  </si>
  <si>
    <t xml:space="preserve">ถึง</t>
  </si>
  <si>
    <t xml:space="preserve">จำนวนใบเสร็จ</t>
  </si>
  <si>
    <t xml:space="preserve">จำนวนเงิน</t>
  </si>
  <si>
    <t xml:space="preserve">ยกเลิกใบเสร็จ</t>
  </si>
  <si>
    <t xml:space="preserve">เลขที่ใบเสร็จ</t>
  </si>
  <si>
    <r>
      <rPr>
        <sz val="16"/>
        <color theme="1"/>
        <rFont val="TH SarabunPSK"/>
        <family val="0"/>
        <charset val="1"/>
      </rPr>
      <t xml:space="preserve">1-2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</si>
  <si>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-</t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</si>
  <si>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</si>
  <si>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3-5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</si>
  <si>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</si>
  <si>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</si>
  <si>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</si>
  <si>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</si>
  <si>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</si>
  <si>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10-13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</si>
  <si>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</si>
  <si>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</si>
  <si>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</si>
  <si>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</si>
  <si>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17-19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</si>
  <si>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</si>
  <si>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</si>
  <si>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</si>
  <si>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22-23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</si>
  <si>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</si>
  <si>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24-26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</si>
  <si>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</si>
  <si>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</si>
  <si>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</si>
  <si>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</si>
  <si>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</si>
  <si>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รวม</t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</si>
  <si>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พฤศจิกายน </t>
    </r>
    <r>
      <rPr>
        <b val="true"/>
        <sz val="16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</si>
  <si>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.-2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</si>
  <si>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</si>
  <si>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</si>
  <si>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</si>
  <si>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</si>
  <si>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</si>
  <si>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</si>
  <si>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</si>
  <si>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</si>
  <si>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</si>
  <si>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</si>
  <si>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</si>
  <si>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</si>
  <si>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</si>
  <si>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</si>
  <si>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</si>
  <si>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</si>
  <si>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</si>
  <si>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</si>
  <si>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</si>
  <si>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</si>
  <si>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</si>
  <si>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</si>
  <si>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</si>
  <si>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</si>
  <si>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</si>
  <si>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ธันวาคม </t>
    </r>
    <r>
      <rPr>
        <b val="true"/>
        <sz val="16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</si>
  <si>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</si>
  <si>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</si>
  <si>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</si>
  <si>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4 - 7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</si>
  <si>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</si>
  <si>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</si>
  <si>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</si>
  <si>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9 - 10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</si>
  <si>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</si>
  <si>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</si>
  <si>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69/00004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</si>
  <si>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69/00067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</si>
  <si>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</si>
  <si>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69/00068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</si>
  <si>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69/00110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</si>
  <si>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</si>
  <si>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69/00111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</si>
  <si>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69/00137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</si>
  <si>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</si>
  <si>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69/00138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</si>
  <si>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69/00173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</si>
  <si>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</si>
  <si>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69/00174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</si>
  <si>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69/00215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</si>
  <si>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</si>
  <si>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</si>
  <si>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69/00216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</si>
  <si>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69/00291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</si>
  <si>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</si>
  <si>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69/00292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</si>
  <si>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69/00326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</si>
  <si>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</si>
  <si>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69/00327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</si>
  <si>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69/00368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</si>
  <si>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</si>
  <si>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69/00369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</si>
  <si>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69/00416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</si>
  <si>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</si>
  <si>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69/00417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</si>
  <si>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69/00444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</si>
  <si>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</si>
  <si>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</si>
  <si>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69/00445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</si>
  <si>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69/00532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</si>
  <si>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</si>
  <si>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69/00533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</si>
  <si>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69/00572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</si>
  <si>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</si>
  <si>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มกราคม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</si>
  <si>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68 - 4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</si>
  <si>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69/00573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</si>
  <si>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69/00672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</si>
  <si>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</si>
  <si>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69/00673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</si>
  <si>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69/00737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</si>
  <si>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</si>
  <si>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69/00738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</si>
  <si>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69/00797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</si>
  <si>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</si>
  <si>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69/00798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</si>
  <si>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69/00842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</si>
  <si>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</si>
  <si>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69/00843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</si>
  <si>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69/00889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</si>
  <si>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</si>
  <si>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9 - 11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</si>
  <si>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69/00890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</si>
  <si>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69/00985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</si>
  <si>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</si>
  <si>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69/00986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</si>
  <si>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69/01026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</si>
  <si>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</si>
  <si>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69/01027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</si>
  <si>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69/01069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</si>
  <si>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</si>
  <si>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69/01070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</si>
  <si>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69/01116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</si>
  <si>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</si>
  <si>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69/01117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</si>
  <si>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69/01162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</si>
  <si>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</si>
  <si>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16 - 18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</si>
  <si>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69/01163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</si>
  <si>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69/01229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</si>
  <si>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</si>
  <si>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69/01230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</si>
  <si>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69/01285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</si>
  <si>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</si>
  <si>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69/01286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</si>
  <si>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69/01319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</si>
  <si>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</si>
  <si>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69/01320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</si>
  <si>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69/01357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</si>
  <si>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</si>
  <si>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69/01358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</si>
  <si>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69/01394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</si>
  <si>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</si>
  <si>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23 - 25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</si>
  <si>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69/01395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</si>
  <si>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69/01446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</si>
  <si>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</si>
  <si>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69/014467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</si>
  <si>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69/01480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</si>
  <si>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</si>
  <si>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69/01481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</si>
  <si>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69/01515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</si>
  <si>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</si>
  <si>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69/01516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</si>
  <si>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69/01542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</si>
  <si>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</si>
  <si>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69/01543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</si>
  <si>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</si>
  <si>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</si>
  <si>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เดือนกุมภาพันธ์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</si>
  <si>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69 - 1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</si>
  <si>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69/01570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</si>
  <si>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69/01628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</si>
  <si>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</si>
  <si>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</si>
  <si>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69/01629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</si>
  <si>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69/01659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</si>
  <si>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</si>
  <si>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</si>
  <si>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69/01660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</si>
  <si>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69/01699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</si>
  <si>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</si>
  <si>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</si>
  <si>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69/01700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</si>
  <si>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69/01733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</si>
  <si>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</si>
  <si>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</si>
  <si>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69/01734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</si>
  <si>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69/01767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</si>
  <si>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</si>
  <si>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</si>
  <si>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69/01768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</si>
  <si>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69/01818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</si>
  <si>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</si>
  <si>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</si>
  <si>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69/01819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</si>
  <si>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69/01851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</si>
  <si>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</si>
  <si>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</si>
  <si>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69/01852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</si>
  <si>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69/01884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</si>
  <si>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</si>
  <si>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</si>
  <si>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69/01885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</si>
  <si>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69/01907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</si>
  <si>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</si>
  <si>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</si>
  <si>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69/01908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</si>
  <si>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69/01927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</si>
  <si>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</si>
  <si>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</si>
  <si>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69/01928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</si>
  <si>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69/01978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</si>
  <si>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</si>
  <si>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</si>
  <si>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69/01979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</si>
  <si>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69/02002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</si>
  <si>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</si>
  <si>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</si>
  <si>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69/02003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</si>
  <si>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69/02032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</si>
  <si>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</si>
  <si>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</si>
  <si>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69/02033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</si>
  <si>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69/02045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</si>
  <si>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</si>
  <si>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</si>
  <si>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69/02046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</si>
  <si>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</si>
  <si>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</si>
  <si>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</si>
  <si>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69/02070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</si>
  <si>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69/02132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</si>
  <si>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</si>
  <si>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</si>
  <si>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69/02133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</si>
  <si>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69/02166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</si>
  <si>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</si>
  <si>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</si>
  <si>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69/02167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</si>
  <si>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69/02206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</si>
  <si>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</si>
  <si>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</si>
  <si>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69/02207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</si>
  <si>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69/02248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</si>
  <si>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</si>
  <si>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</si>
  <si>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69/02249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</si>
  <si>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69/02300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</si>
  <si>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</si>
  <si>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มีนาคม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</si>
  <si>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</si>
  <si>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69/02301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</si>
  <si>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69/02445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</si>
  <si>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</si>
  <si>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</si>
  <si>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</si>
  <si>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</si>
  <si>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</si>
  <si>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</si>
  <si>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69/02446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</si>
  <si>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</si>
  <si>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69/02447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</si>
  <si>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69/02448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</si>
  <si>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</si>
  <si>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</si>
  <si>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</si>
  <si>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</si>
  <si>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</si>
  <si>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</si>
  <si>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69/02449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</si>
  <si>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</si>
  <si>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69/02450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</si>
  <si>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</si>
  <si>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69/02451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</si>
  <si>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</si>
  <si>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</si>
  <si>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</si>
  <si>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</si>
  <si>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69/02452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</si>
  <si>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</si>
  <si>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</si>
  <si>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</si>
  <si>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</si>
  <si>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</si>
  <si>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27 - 29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</si>
  <si>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69/02454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</si>
  <si>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</si>
  <si>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69/02455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</si>
  <si>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69/02456 - 02472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</si>
  <si>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</si>
  <si>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69/02473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</si>
  <si>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</si>
  <si>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เมษายน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</si>
  <si>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</si>
  <si>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</si>
  <si>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3 - 6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</si>
  <si>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</si>
  <si>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</si>
  <si>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</si>
  <si>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</si>
  <si>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10 - 15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</si>
  <si>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</si>
  <si>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69/02474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</si>
  <si>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</si>
  <si>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</si>
  <si>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</si>
  <si>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</si>
  <si>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</si>
  <si>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</si>
  <si>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69/02475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</si>
  <si>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</si>
  <si>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</si>
  <si>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69/02476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</si>
  <si>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69/02477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</si>
  <si>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</si>
  <si>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</si>
  <si>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69/02478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</si>
  <si>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</si>
  <si>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</si>
  <si>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</si>
  <si>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พฤษภาคม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</si>
  <si>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1 - 4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</si>
  <si>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</si>
  <si>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69/02479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</si>
  <si>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</si>
  <si>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</si>
  <si>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</si>
  <si>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8 - 10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</si>
  <si>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69/02480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</si>
  <si>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</si>
  <si>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</si>
  <si>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</si>
  <si>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</si>
  <si>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69/02481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</si>
  <si>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</si>
  <si>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15 - 17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</si>
  <si>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</si>
  <si>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</si>
  <si>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</si>
  <si>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</si>
  <si>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</si>
  <si>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22 - 24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</si>
  <si>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</si>
  <si>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</si>
  <si>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</si>
  <si>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69/02482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</si>
  <si>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</si>
  <si>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</si>
  <si>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มิถุนายน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</si>
  <si>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</si>
  <si>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</si>
  <si>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</si>
  <si>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</si>
  <si>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69/02483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</si>
  <si>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</si>
  <si>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5 - 7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</si>
  <si>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</si>
  <si>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</si>
  <si>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</si>
  <si>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</si>
  <si>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69/02484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</si>
  <si>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</si>
  <si>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</si>
  <si>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</si>
  <si>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</si>
  <si>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</si>
  <si>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</si>
  <si>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</si>
  <si>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</si>
  <si>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</si>
  <si>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</si>
  <si>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69/02485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</si>
  <si>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</si>
  <si>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</si>
  <si>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</si>
  <si>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</si>
  <si>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</si>
  <si>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</si>
  <si>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69/02486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</si>
  <si>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</si>
  <si>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กรกฎาคม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</si>
  <si>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</si>
  <si>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</si>
  <si>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3 - 5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</si>
  <si>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</si>
  <si>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</si>
  <si>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</si>
  <si>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</si>
  <si>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</si>
  <si>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</si>
  <si>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10 - 12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</si>
  <si>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</si>
  <si>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69/02487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</si>
  <si>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</si>
  <si>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</si>
  <si>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</si>
  <si>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</si>
  <si>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</si>
  <si>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</si>
  <si>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</si>
  <si>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</si>
  <si>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</si>
  <si>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</si>
  <si>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</si>
  <si>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</si>
  <si>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</si>
  <si>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</si>
  <si>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</si>
  <si>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สิงหาคม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</si>
  <si>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</si>
  <si>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</si>
  <si>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</si>
  <si>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</si>
  <si>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69/02489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</si>
  <si>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</si>
  <si>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</si>
  <si>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</si>
  <si>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</si>
  <si>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</si>
  <si>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</si>
  <si>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</si>
  <si>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</si>
  <si>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</si>
  <si>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</si>
  <si>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69/02490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</si>
  <si>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</si>
  <si>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69/02491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</si>
  <si>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</si>
  <si>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</si>
  <si>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69/02492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</si>
  <si>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</si>
  <si>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</si>
  <si>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</si>
  <si>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</si>
  <si>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</si>
  <si>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</si>
  <si>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</si>
  <si>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</si>
  <si>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</si>
  <si>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</si>
  <si>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6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เดือน กันยายน </t>
    </r>
    <r>
      <rPr>
        <b val="true"/>
        <sz val="16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</si>
  <si>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</si>
  <si>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rgb="FF000000"/>
        <rFont val="Arial"/>
        <family val="0"/>
        <charset val="1"/>
      </rPr>
      <t xml:space="preserve">ค</t>
    </r>
    <r>
      <rPr>
        <sz val="16"/>
        <color rgb="FF000000"/>
        <rFont val="TH SarabunPSK"/>
        <family val="0"/>
        <charset val="1"/>
      </rPr>
      <t xml:space="preserve">69/02493 - </t>
    </r>
    <r>
      <rPr>
        <sz val="16"/>
        <color rgb="FF000000"/>
        <rFont val="Arial"/>
        <family val="0"/>
        <charset val="1"/>
      </rPr>
      <t xml:space="preserve">ค</t>
    </r>
    <r>
      <rPr>
        <sz val="16"/>
        <color rgb="FF000000"/>
        <rFont val="TH SarabunPSK"/>
        <family val="0"/>
        <charset val="1"/>
      </rPr>
      <t xml:space="preserve">69/02503</t>
    </r>
  </si>
  <si>
    <t xml:space="preserve">นำเข้าผิดช่องทาง</t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</si>
  <si>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</si>
  <si>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</si>
  <si>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4 - 6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</si>
  <si>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</si>
  <si>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69/02504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</si>
  <si>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</si>
  <si>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</si>
  <si>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</si>
  <si>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</si>
  <si>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</si>
  <si>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</si>
  <si>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</si>
  <si>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</si>
  <si>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</si>
  <si>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</si>
  <si>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18 - 20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</si>
  <si>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</si>
  <si>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</si>
  <si>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</si>
  <si>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</si>
  <si>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25 - 27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</si>
  <si>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</si>
  <si>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</si>
  <si>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</si>
  <si>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b val="true"/>
        <sz val="25"/>
        <color theme="1"/>
        <rFont val="Arial"/>
        <family val="0"/>
        <charset val="1"/>
      </rPr>
      <t xml:space="preserve">รายงานการรับชำระค่าธรรมเนียมผ่านเคาน์เตอร์เซอร์วิส </t>
    </r>
    <r>
      <rPr>
        <b val="true"/>
        <sz val="25"/>
        <color theme="1"/>
        <rFont val="TH SarabunPSK"/>
        <family val="0"/>
        <charset val="1"/>
      </rPr>
      <t xml:space="preserve">2569</t>
    </r>
  </si>
  <si>
    <t xml:space="preserve">เดือน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</si>
  <si>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Safety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</si>
  <si>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</si>
  <si>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Trade</t>
    </r>
  </si>
  <si>
    <t xml:space="preserve">รวม </t>
  </si>
  <si>
    <r>
      <rPr>
        <b val="true"/>
        <sz val="16"/>
        <color theme="1"/>
        <rFont val="Arial"/>
        <family val="0"/>
        <charset val="1"/>
      </rPr>
      <t xml:space="preserve">ต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</si>
  <si>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</si>
  <si>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ธ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</si>
  <si>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</si>
  <si>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</si>
  <si>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มี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</si>
  <si>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เม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</si>
  <si>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</si>
  <si>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มิ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</si>
  <si>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</si>
  <si>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ส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</si>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</sst>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/d\/myy"/>
    <numFmt numFmtId="166" formatCode="#,##0.00"/>
    <numFmt numFmtId="167" formatCode="0.00"/>
    <numFmt numFmtId="168" formatCode="#,##0"/>
    <numFmt numFmtId="169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0"/>
      <charset val="1"/>
    </font>
    <font>
      <b val="true"/>
      <sz val="16"/>
      <color theme="1"/>
      <name val="TH SarabunPSK"/>
      <family val="0"/>
      <charset val="1"/>
    </font>
    <font>
      <sz val="16"/>
      <color theme="1"/>
      <name val="TH SarabunPSK"/>
      <family val="0"/>
      <charset val="1"/>
    </font>
    <font>
      <sz val="11"/>
      <color theme="1"/>
      <name val="Arial"/>
      <family val="0"/>
      <charset val="1"/>
    </font>
    <font>
      <sz val="16"/>
      <color theme="1"/>
      <name val="Arial"/>
      <family val="0"/>
      <charset val="1"/>
    </font>
    <font>
      <sz val="16"/>
      <color rgb="FF000000"/>
      <name val="Arial"/>
      <family val="0"/>
      <charset val="1"/>
    </font>
    <font>
      <sz val="16"/>
      <color rgb="FF000000"/>
      <name val="TH SarabunPSK"/>
      <family val="0"/>
      <charset val="1"/>
    </font>
    <font>
      <sz val="16"/>
      <color rgb="FFFF0000"/>
      <name val="Arial"/>
      <family val="0"/>
      <charset val="1"/>
    </font>
    <font>
      <b val="true"/>
      <sz val="25"/>
      <color theme="1"/>
      <name val="Arial"/>
      <family val="0"/>
      <charset val="1"/>
    </font>
    <font>
      <b val="true"/>
      <sz val="25"/>
      <color theme="1"/>
      <name val="TH SarabunPSK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A8A8"/>
        <bgColor rgb="FFF6B26B"/>
      </patternFill>
    </fill>
    <fill>
      <patternFill patternType="solid">
        <fgColor rgb="FFFFFFFF"/>
        <bgColor rgb="FFF5FDFF"/>
      </patternFill>
    </fill>
    <fill>
      <patternFill patternType="solid">
        <fgColor rgb="FFA7E3F5"/>
        <bgColor rgb="FF96D2E1"/>
      </patternFill>
    </fill>
    <fill>
      <patternFill patternType="solid">
        <fgColor rgb="FFB4A7D6"/>
        <bgColor rgb="FF9FC5E8"/>
      </patternFill>
    </fill>
    <fill>
      <patternFill patternType="solid">
        <fgColor rgb="FF9FC5E8"/>
        <bgColor rgb="FF96D2E1"/>
      </patternFill>
    </fill>
    <fill>
      <patternFill patternType="solid">
        <fgColor rgb="FF96D2E1"/>
        <bgColor rgb="FF9FC5E8"/>
      </patternFill>
    </fill>
    <fill>
      <patternFill patternType="solid">
        <fgColor rgb="FFF5FDFF"/>
        <bgColor rgb="FFFFFFFF"/>
      </patternFill>
    </fill>
    <fill>
      <patternFill patternType="solid">
        <fgColor rgb="FFFFF2F2"/>
        <bgColor rgb="FFFFFFFF"/>
      </patternFill>
    </fill>
    <fill>
      <patternFill patternType="solid">
        <fgColor rgb="FFE1F8FF"/>
        <bgColor rgb="FFF5FDFF"/>
      </patternFill>
    </fill>
    <fill>
      <patternFill patternType="solid">
        <fgColor rgb="FF6FA8DC"/>
        <bgColor rgb="FF9FC5E8"/>
      </patternFill>
    </fill>
    <fill>
      <patternFill patternType="solid">
        <fgColor rgb="FFFFD966"/>
        <bgColor rgb="FFF6B26B"/>
      </patternFill>
    </fill>
    <fill>
      <patternFill patternType="solid">
        <fgColor rgb="FFF6B26B"/>
        <bgColor rgb="FFFFA8A8"/>
      </patternFill>
    </fill>
    <fill>
      <patternFill patternType="solid">
        <fgColor rgb="FF93C47D"/>
        <bgColor rgb="FFB6D7A8"/>
      </patternFill>
    </fill>
    <fill>
      <patternFill patternType="solid">
        <fgColor rgb="FFB6D7A8"/>
        <bgColor rgb="FF96D2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FA8DC"/>
      <rgbColor rgb="FF993366"/>
      <rgbColor rgb="FFFFF2F2"/>
      <rgbColor rgb="FFE1F8FF"/>
      <rgbColor rgb="FF660066"/>
      <rgbColor rgb="FFF6B26B"/>
      <rgbColor rgb="FF0066CC"/>
      <rgbColor rgb="FFA7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DFF"/>
      <rgbColor rgb="FF96D2E1"/>
      <rgbColor rgb="FFFFFF99"/>
      <rgbColor rgb="FF9FC5E8"/>
      <rgbColor rgb="FFFFA8A8"/>
      <rgbColor rgb="FFB4A7D6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2.35" hidden="false" customHeight="false" outlineLevel="0" collapsed="false">
      <c r="A1" s="1" t="s">
        <v>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11" t="s">
        <v>12</v>
      </c>
      <c r="B6" s="11" t="s"/>
      <c r="C6" s="12" t="s">
        <v>13</v>
      </c>
      <c r="D6" s="12" t="s">
        <v>13</v>
      </c>
      <c r="E6" s="12" t="s">
        <v>13</v>
      </c>
      <c r="F6" s="12" t="s">
        <v>13</v>
      </c>
      <c r="G6" s="12"/>
      <c r="H6" s="12"/>
      <c r="I6" s="13"/>
      <c r="J6" s="13" t="n">
        <v>1705</v>
      </c>
      <c r="K6" s="13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11" t="s">
        <v>15</v>
      </c>
      <c r="B7" s="11" t="s"/>
      <c r="C7" s="12" t="s">
        <v>13</v>
      </c>
      <c r="D7" s="12" t="s">
        <v>13</v>
      </c>
      <c r="E7" s="12" t="s">
        <v>13</v>
      </c>
      <c r="F7" s="12" t="s">
        <v>13</v>
      </c>
      <c r="G7" s="12"/>
      <c r="H7" s="12"/>
      <c r="I7" s="13"/>
      <c r="J7" s="13" t="n">
        <v>1716</v>
      </c>
      <c r="K7" s="13" t="s">
        <v>16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11" t="s">
        <v>16</v>
      </c>
      <c r="B8" s="11" t="s"/>
      <c r="C8" s="12" t="s">
        <v>13</v>
      </c>
      <c r="D8" s="12" t="s">
        <v>13</v>
      </c>
      <c r="E8" s="12" t="s">
        <v>13</v>
      </c>
      <c r="F8" s="12" t="s">
        <v>13</v>
      </c>
      <c r="G8" s="12"/>
      <c r="H8" s="12"/>
      <c r="I8" s="13"/>
      <c r="J8" s="13" t="n">
        <v>1721</v>
      </c>
      <c r="K8" s="13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11" t="s">
        <v>17</v>
      </c>
      <c r="B9" s="11" t="s"/>
      <c r="C9" s="12" t="s">
        <v>13</v>
      </c>
      <c r="D9" s="12" t="s">
        <v>13</v>
      </c>
      <c r="E9" s="12" t="s">
        <v>13</v>
      </c>
      <c r="F9" s="12" t="s">
        <v>13</v>
      </c>
      <c r="G9" s="12"/>
      <c r="H9" s="12"/>
      <c r="I9" s="13"/>
      <c r="J9" s="13" t="n">
        <v>1729</v>
      </c>
      <c r="K9" s="13" t="s">
        <v>18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11" t="s">
        <v>18</v>
      </c>
      <c r="B10" s="11" t="s"/>
      <c r="C10" s="12" t="s">
        <v>13</v>
      </c>
      <c r="D10" s="12" t="s">
        <v>13</v>
      </c>
      <c r="E10" s="12" t="s">
        <v>13</v>
      </c>
      <c r="F10" s="12" t="s">
        <v>13</v>
      </c>
      <c r="G10" s="12"/>
      <c r="H10" s="12"/>
      <c r="I10" s="13"/>
      <c r="J10" s="13" t="n">
        <v>1736</v>
      </c>
      <c r="K10" s="13" t="s">
        <v>19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11" t="s">
        <v>19</v>
      </c>
      <c r="B11" s="11" t="s"/>
      <c r="C11" s="12" t="s">
        <v>13</v>
      </c>
      <c r="D11" s="12" t="s">
        <v>13</v>
      </c>
      <c r="E11" s="12" t="s">
        <v>13</v>
      </c>
      <c r="F11" s="12" t="s">
        <v>13</v>
      </c>
      <c r="G11" s="12"/>
      <c r="H11" s="12"/>
      <c r="I11" s="13"/>
      <c r="J11" s="13" t="n">
        <v>1748</v>
      </c>
      <c r="K11" s="13" t="s">
        <v>20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11" t="s">
        <v>21</v>
      </c>
      <c r="B12" s="11" t="s"/>
      <c r="C12" s="12" t="s">
        <v>13</v>
      </c>
      <c r="D12" s="12" t="s">
        <v>13</v>
      </c>
      <c r="E12" s="12" t="s">
        <v>13</v>
      </c>
      <c r="F12" s="12" t="s">
        <v>13</v>
      </c>
      <c r="G12" s="12"/>
      <c r="H12" s="12"/>
      <c r="I12" s="13"/>
      <c r="J12" s="13" t="n">
        <v>1742</v>
      </c>
      <c r="K12" s="13" t="s">
        <v>22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11" t="s">
        <v>22</v>
      </c>
      <c r="B13" s="11" t="s"/>
      <c r="C13" s="12" t="s">
        <v>13</v>
      </c>
      <c r="D13" s="12" t="s">
        <v>13</v>
      </c>
      <c r="E13" s="12" t="s">
        <v>13</v>
      </c>
      <c r="F13" s="12" t="s">
        <v>13</v>
      </c>
      <c r="G13" s="12"/>
      <c r="H13" s="12"/>
      <c r="I13" s="13"/>
      <c r="J13" s="13" t="n">
        <v>1756</v>
      </c>
      <c r="K13" s="13" t="s">
        <v>23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11" t="s">
        <v>23</v>
      </c>
      <c r="B14" s="11" t="s"/>
      <c r="C14" s="12" t="s">
        <v>13</v>
      </c>
      <c r="D14" s="12" t="s">
        <v>13</v>
      </c>
      <c r="E14" s="12" t="s">
        <v>13</v>
      </c>
      <c r="F14" s="12" t="s">
        <v>13</v>
      </c>
      <c r="G14" s="12"/>
      <c r="H14" s="12"/>
      <c r="I14" s="13"/>
      <c r="J14" s="13" t="n">
        <v>1762</v>
      </c>
      <c r="K14" s="13" t="s">
        <v>24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11" t="s">
        <v>24</v>
      </c>
      <c r="B15" s="11" t="s"/>
      <c r="C15" s="12" t="s">
        <v>13</v>
      </c>
      <c r="D15" s="12" t="s">
        <v>13</v>
      </c>
      <c r="E15" s="12" t="s">
        <v>13</v>
      </c>
      <c r="F15" s="12" t="s">
        <v>13</v>
      </c>
      <c r="G15" s="12"/>
      <c r="H15" s="12"/>
      <c r="I15" s="13"/>
      <c r="J15" s="13" t="n">
        <v>1769</v>
      </c>
      <c r="K15" s="13" t="s">
        <v>25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11" t="s">
        <v>26</v>
      </c>
      <c r="B16" s="11" t="s"/>
      <c r="C16" s="12" t="s">
        <v>13</v>
      </c>
      <c r="D16" s="12" t="s">
        <v>13</v>
      </c>
      <c r="E16" s="12" t="s">
        <v>13</v>
      </c>
      <c r="F16" s="12" t="s">
        <v>13</v>
      </c>
      <c r="G16" s="12"/>
      <c r="H16" s="12"/>
      <c r="I16" s="13"/>
      <c r="J16" s="13" t="n">
        <v>1735</v>
      </c>
      <c r="K16" s="13" t="s">
        <v>27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11" t="s">
        <v>27</v>
      </c>
      <c r="B17" s="11" t="s"/>
      <c r="C17" s="12" t="s">
        <v>13</v>
      </c>
      <c r="D17" s="12" t="s">
        <v>13</v>
      </c>
      <c r="E17" s="12" t="s">
        <v>13</v>
      </c>
      <c r="F17" s="12" t="s">
        <v>13</v>
      </c>
      <c r="G17" s="12"/>
      <c r="H17" s="12"/>
      <c r="I17" s="13"/>
      <c r="J17" s="13" t="n">
        <v>1781</v>
      </c>
      <c r="K17" s="13" t="s">
        <v>28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11" t="s">
        <v>28</v>
      </c>
      <c r="B18" s="11" t="s"/>
      <c r="C18" s="12" t="s">
        <v>13</v>
      </c>
      <c r="D18" s="12" t="s">
        <v>13</v>
      </c>
      <c r="E18" s="12" t="s">
        <v>13</v>
      </c>
      <c r="F18" s="12" t="s">
        <v>13</v>
      </c>
      <c r="G18" s="12"/>
      <c r="H18" s="12"/>
      <c r="I18" s="13"/>
      <c r="J18" s="13" t="n">
        <v>1783</v>
      </c>
      <c r="K18" s="13" t="s">
        <v>29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11" t="s">
        <v>30</v>
      </c>
      <c r="B19" s="11" t="s"/>
      <c r="C19" s="12" t="s">
        <v>13</v>
      </c>
      <c r="D19" s="12" t="s">
        <v>13</v>
      </c>
      <c r="E19" s="12" t="s">
        <v>13</v>
      </c>
      <c r="F19" s="12" t="s">
        <v>13</v>
      </c>
      <c r="G19" s="12"/>
      <c r="H19" s="12"/>
      <c r="I19" s="13"/>
      <c r="J19" s="13" t="n">
        <v>1796</v>
      </c>
      <c r="K19" s="13" t="s">
        <v>31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11" t="s">
        <v>32</v>
      </c>
      <c r="B20" s="11" t="s"/>
      <c r="C20" s="12" t="s">
        <v>13</v>
      </c>
      <c r="D20" s="12" t="s">
        <v>13</v>
      </c>
      <c r="E20" s="12" t="s">
        <v>13</v>
      </c>
      <c r="F20" s="12" t="s">
        <v>13</v>
      </c>
      <c r="G20" s="12"/>
      <c r="H20" s="12"/>
      <c r="I20" s="13"/>
      <c r="J20" s="13" t="n">
        <v>1803</v>
      </c>
      <c r="K20" s="13" t="s">
        <v>33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11" t="s">
        <v>33</v>
      </c>
      <c r="B21" s="11" t="s"/>
      <c r="C21" s="12" t="s">
        <v>13</v>
      </c>
      <c r="D21" s="12" t="s">
        <v>13</v>
      </c>
      <c r="E21" s="12" t="s">
        <v>13</v>
      </c>
      <c r="F21" s="12" t="s">
        <v>13</v>
      </c>
      <c r="G21" s="12"/>
      <c r="H21" s="12"/>
      <c r="I21" s="13"/>
      <c r="J21" s="13" t="n">
        <v>1809</v>
      </c>
      <c r="K21" s="13" t="s">
        <v>34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11" t="s">
        <v>34</v>
      </c>
      <c r="B22" s="11" t="s"/>
      <c r="C22" s="12" t="s">
        <v>13</v>
      </c>
      <c r="D22" s="12" t="s">
        <v>13</v>
      </c>
      <c r="E22" s="12" t="s">
        <v>13</v>
      </c>
      <c r="F22" s="12" t="s">
        <v>13</v>
      </c>
      <c r="G22" s="12"/>
      <c r="H22" s="12"/>
      <c r="I22" s="13"/>
      <c r="J22" s="13" t="n">
        <v>1816</v>
      </c>
      <c r="K22" s="13" t="s">
        <v>35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11" t="s">
        <v>35</v>
      </c>
      <c r="B23" s="11" t="s"/>
      <c r="C23" s="12" t="s">
        <v>13</v>
      </c>
      <c r="D23" s="12" t="s">
        <v>13</v>
      </c>
      <c r="E23" s="12" t="s">
        <v>13</v>
      </c>
      <c r="F23" s="12" t="s">
        <v>13</v>
      </c>
      <c r="G23" s="12"/>
      <c r="H23" s="12"/>
      <c r="I23" s="13"/>
      <c r="J23" s="13" t="n">
        <v>1823</v>
      </c>
      <c r="K23" s="13" t="s">
        <v>36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11" t="s">
        <v>36</v>
      </c>
      <c r="B24" s="11" t="s"/>
      <c r="C24" s="12" t="s">
        <v>13</v>
      </c>
      <c r="D24" s="12" t="s">
        <v>13</v>
      </c>
      <c r="E24" s="12" t="s">
        <v>13</v>
      </c>
      <c r="F24" s="12" t="s">
        <v>13</v>
      </c>
      <c r="G24" s="12"/>
      <c r="H24" s="12"/>
      <c r="I24" s="13"/>
      <c r="J24" s="13" t="n">
        <v>1833</v>
      </c>
      <c r="K24" s="13" t="s">
        <v>37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19.7" hidden="true" customHeight="false" outlineLevel="0" collapsed="false">
      <c r="A25" s="14"/>
      <c r="B25" s="14"/>
      <c r="C25" s="15"/>
      <c r="D25" s="15"/>
      <c r="E25" s="15"/>
      <c r="F25" s="15"/>
      <c r="G25" s="12"/>
      <c r="H25" s="12"/>
      <c r="I25" s="13"/>
      <c r="J25" s="13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19.7" hidden="true" customHeight="false" outlineLevel="0" collapsed="false">
      <c r="A26" s="14"/>
      <c r="B26" s="14"/>
      <c r="C26" s="15"/>
      <c r="D26" s="15"/>
      <c r="E26" s="15"/>
      <c r="F26" s="15"/>
      <c r="G26" s="12"/>
      <c r="H26" s="12"/>
      <c r="I26" s="13"/>
      <c r="J26" s="13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19.7" hidden="true" customHeight="false" outlineLevel="0" collapsed="false">
      <c r="A27" s="14"/>
      <c r="B27" s="14"/>
      <c r="C27" s="15"/>
      <c r="D27" s="15"/>
      <c r="E27" s="15"/>
      <c r="F27" s="15"/>
      <c r="G27" s="12"/>
      <c r="H27" s="12"/>
      <c r="I27" s="13"/>
      <c r="J27" s="13"/>
      <c r="K27" s="13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0</v>
      </c>
      <c r="F28" s="17" t="n">
        <f aca="false">SUM(F6:F27)</f>
        <v>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0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39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11" t="s">
        <v>40</v>
      </c>
      <c r="B6" s="11" t="s"/>
      <c r="C6" s="12" t="s">
        <v>13</v>
      </c>
      <c r="D6" s="12" t="s">
        <v>13</v>
      </c>
      <c r="E6" s="12" t="s">
        <v>13</v>
      </c>
      <c r="F6" s="12" t="s">
        <v>13</v>
      </c>
      <c r="G6" s="12"/>
      <c r="H6" s="12"/>
      <c r="I6" s="13"/>
      <c r="J6" s="13" t="n">
        <v>1842</v>
      </c>
      <c r="K6" s="19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11" t="s">
        <v>41</v>
      </c>
      <c r="B7" s="11" t="s"/>
      <c r="C7" s="12" t="s">
        <v>13</v>
      </c>
      <c r="D7" s="12" t="s">
        <v>13</v>
      </c>
      <c r="E7" s="12" t="s">
        <v>13</v>
      </c>
      <c r="F7" s="12" t="s">
        <v>13</v>
      </c>
      <c r="G7" s="12"/>
      <c r="H7" s="12"/>
      <c r="I7" s="13"/>
      <c r="J7" s="13" t="n">
        <v>1848</v>
      </c>
      <c r="K7" s="19" t="s">
        <v>42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11" t="s">
        <v>42</v>
      </c>
      <c r="B8" s="11" t="s"/>
      <c r="C8" s="12" t="s">
        <v>13</v>
      </c>
      <c r="D8" s="12" t="s">
        <v>13</v>
      </c>
      <c r="E8" s="12" t="s">
        <v>13</v>
      </c>
      <c r="F8" s="12" t="s">
        <v>13</v>
      </c>
      <c r="G8" s="12"/>
      <c r="H8" s="12"/>
      <c r="I8" s="13"/>
      <c r="J8" s="13" t="n">
        <v>1856</v>
      </c>
      <c r="K8" s="19" t="s">
        <v>43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11" t="s">
        <v>43</v>
      </c>
      <c r="B9" s="11" t="s"/>
      <c r="C9" s="12" t="s">
        <v>13</v>
      </c>
      <c r="D9" s="12" t="s">
        <v>13</v>
      </c>
      <c r="E9" s="12" t="s">
        <v>13</v>
      </c>
      <c r="F9" s="12" t="s">
        <v>13</v>
      </c>
      <c r="G9" s="12"/>
      <c r="H9" s="12"/>
      <c r="I9" s="13"/>
      <c r="J9" s="13" t="n">
        <v>1863</v>
      </c>
      <c r="K9" s="19" t="s">
        <v>44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11" t="s">
        <v>44</v>
      </c>
      <c r="B10" s="11" t="s"/>
      <c r="C10" s="12" t="s">
        <v>13</v>
      </c>
      <c r="D10" s="12" t="s">
        <v>13</v>
      </c>
      <c r="E10" s="12" t="s">
        <v>13</v>
      </c>
      <c r="F10" s="12" t="s">
        <v>13</v>
      </c>
      <c r="G10" s="12"/>
      <c r="H10" s="12"/>
      <c r="I10" s="13"/>
      <c r="J10" s="13" t="n">
        <v>1868</v>
      </c>
      <c r="K10" s="19" t="s">
        <v>45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11" t="s">
        <v>46</v>
      </c>
      <c r="B11" s="11" t="s"/>
      <c r="C11" s="12" t="s">
        <v>13</v>
      </c>
      <c r="D11" s="12" t="s">
        <v>13</v>
      </c>
      <c r="E11" s="12" t="s">
        <v>13</v>
      </c>
      <c r="F11" s="12" t="s">
        <v>13</v>
      </c>
      <c r="G11" s="12"/>
      <c r="H11" s="12"/>
      <c r="I11" s="13"/>
      <c r="J11" s="13" t="n">
        <v>1877</v>
      </c>
      <c r="K11" s="13" t="s">
        <v>47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11" t="s">
        <v>47</v>
      </c>
      <c r="B12" s="11" t="s"/>
      <c r="C12" s="12" t="s">
        <v>13</v>
      </c>
      <c r="D12" s="12" t="s">
        <v>13</v>
      </c>
      <c r="E12" s="12" t="s">
        <v>13</v>
      </c>
      <c r="F12" s="12" t="s">
        <v>13</v>
      </c>
      <c r="G12" s="12"/>
      <c r="H12" s="12"/>
      <c r="I12" s="13"/>
      <c r="J12" s="13" t="n">
        <v>1884</v>
      </c>
      <c r="K12" s="13" t="s">
        <v>48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11" t="s">
        <v>48</v>
      </c>
      <c r="B13" s="11" t="s"/>
      <c r="C13" s="12" t="s">
        <v>13</v>
      </c>
      <c r="D13" s="12" t="s">
        <v>13</v>
      </c>
      <c r="E13" s="12" t="s">
        <v>13</v>
      </c>
      <c r="F13" s="12" t="s">
        <v>13</v>
      </c>
      <c r="G13" s="12"/>
      <c r="H13" s="12"/>
      <c r="I13" s="13"/>
      <c r="J13" s="13" t="n">
        <v>1889</v>
      </c>
      <c r="K13" s="13" t="s">
        <v>49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11" t="s">
        <v>49</v>
      </c>
      <c r="B14" s="11" t="s"/>
      <c r="C14" s="12" t="s">
        <v>13</v>
      </c>
      <c r="D14" s="12" t="s">
        <v>13</v>
      </c>
      <c r="E14" s="12" t="s">
        <v>13</v>
      </c>
      <c r="F14" s="12" t="s">
        <v>13</v>
      </c>
      <c r="G14" s="12"/>
      <c r="H14" s="12"/>
      <c r="I14" s="13"/>
      <c r="J14" s="13" t="n">
        <v>1900</v>
      </c>
      <c r="K14" s="13" t="s">
        <v>50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11" t="s">
        <v>50</v>
      </c>
      <c r="B15" s="11" t="s"/>
      <c r="C15" s="12" t="s">
        <v>13</v>
      </c>
      <c r="D15" s="12" t="s">
        <v>13</v>
      </c>
      <c r="E15" s="12" t="s">
        <v>13</v>
      </c>
      <c r="F15" s="12" t="s">
        <v>13</v>
      </c>
      <c r="G15" s="12"/>
      <c r="H15" s="12"/>
      <c r="I15" s="13"/>
      <c r="J15" s="13" t="n">
        <v>1906</v>
      </c>
      <c r="K15" s="13" t="s">
        <v>51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11" t="s">
        <v>52</v>
      </c>
      <c r="B16" s="11" t="s"/>
      <c r="C16" s="12" t="s">
        <v>13</v>
      </c>
      <c r="D16" s="12" t="s">
        <v>13</v>
      </c>
      <c r="E16" s="12" t="s">
        <v>13</v>
      </c>
      <c r="F16" s="12" t="s">
        <v>13</v>
      </c>
      <c r="G16" s="12"/>
      <c r="H16" s="12"/>
      <c r="I16" s="13"/>
      <c r="J16" s="13" t="n">
        <v>1910</v>
      </c>
      <c r="K16" s="13" t="s">
        <v>53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11" t="s">
        <v>53</v>
      </c>
      <c r="B17" s="11" t="s"/>
      <c r="C17" s="12" t="s">
        <v>13</v>
      </c>
      <c r="D17" s="12" t="s">
        <v>13</v>
      </c>
      <c r="E17" s="12" t="s">
        <v>13</v>
      </c>
      <c r="F17" s="12" t="s">
        <v>13</v>
      </c>
      <c r="G17" s="12"/>
      <c r="H17" s="12"/>
      <c r="I17" s="13"/>
      <c r="J17" s="13" t="n">
        <v>1918</v>
      </c>
      <c r="K17" s="13" t="s">
        <v>54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11" t="s">
        <v>54</v>
      </c>
      <c r="B18" s="11" t="s"/>
      <c r="C18" s="12" t="s">
        <v>13</v>
      </c>
      <c r="D18" s="12" t="s">
        <v>13</v>
      </c>
      <c r="E18" s="12" t="s">
        <v>13</v>
      </c>
      <c r="F18" s="12" t="s">
        <v>13</v>
      </c>
      <c r="G18" s="12"/>
      <c r="H18" s="12"/>
      <c r="I18" s="13"/>
      <c r="J18" s="13" t="n">
        <v>1926</v>
      </c>
      <c r="K18" s="13" t="s">
        <v>55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11" t="s">
        <v>55</v>
      </c>
      <c r="B19" s="11" t="s"/>
      <c r="C19" s="12" t="s">
        <v>13</v>
      </c>
      <c r="D19" s="12" t="s">
        <v>13</v>
      </c>
      <c r="E19" s="12" t="s">
        <v>13</v>
      </c>
      <c r="F19" s="12" t="s">
        <v>13</v>
      </c>
      <c r="G19" s="12"/>
      <c r="H19" s="12"/>
      <c r="I19" s="13"/>
      <c r="J19" s="13" t="n">
        <v>1931</v>
      </c>
      <c r="K19" s="19" t="s">
        <v>56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11" t="s">
        <v>56</v>
      </c>
      <c r="B20" s="11" t="s"/>
      <c r="C20" s="12" t="s">
        <v>13</v>
      </c>
      <c r="D20" s="12" t="s">
        <v>13</v>
      </c>
      <c r="E20" s="12" t="s">
        <v>13</v>
      </c>
      <c r="F20" s="12" t="s">
        <v>13</v>
      </c>
      <c r="G20" s="12"/>
      <c r="H20" s="12"/>
      <c r="I20" s="13"/>
      <c r="J20" s="13" t="n">
        <v>1941</v>
      </c>
      <c r="K20" s="19" t="s">
        <v>57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11" t="s">
        <v>58</v>
      </c>
      <c r="B21" s="11" t="s"/>
      <c r="C21" s="12" t="s">
        <v>13</v>
      </c>
      <c r="D21" s="12" t="s">
        <v>13</v>
      </c>
      <c r="E21" s="12" t="s">
        <v>13</v>
      </c>
      <c r="F21" s="12" t="s">
        <v>13</v>
      </c>
      <c r="G21" s="12"/>
      <c r="H21" s="12"/>
      <c r="I21" s="13"/>
      <c r="J21" s="13" t="n">
        <v>1949</v>
      </c>
      <c r="K21" s="13" t="s">
        <v>59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11" t="s">
        <v>59</v>
      </c>
      <c r="B22" s="11" t="s"/>
      <c r="C22" s="12" t="s">
        <v>13</v>
      </c>
      <c r="D22" s="12" t="s">
        <v>13</v>
      </c>
      <c r="E22" s="12" t="s">
        <v>13</v>
      </c>
      <c r="F22" s="12" t="s">
        <v>13</v>
      </c>
      <c r="G22" s="12"/>
      <c r="H22" s="12"/>
      <c r="I22" s="13"/>
      <c r="J22" s="13" t="n">
        <v>1955</v>
      </c>
      <c r="K22" s="13" t="s">
        <v>60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11" t="s">
        <v>60</v>
      </c>
      <c r="B23" s="11" t="s"/>
      <c r="C23" s="12" t="s">
        <v>13</v>
      </c>
      <c r="D23" s="12" t="s">
        <v>13</v>
      </c>
      <c r="E23" s="12" t="s">
        <v>13</v>
      </c>
      <c r="F23" s="12" t="s">
        <v>13</v>
      </c>
      <c r="G23" s="12"/>
      <c r="H23" s="12"/>
      <c r="I23" s="13"/>
      <c r="J23" s="13" t="n">
        <v>1964</v>
      </c>
      <c r="K23" s="13" t="s">
        <v>61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11" t="s">
        <v>61</v>
      </c>
      <c r="B24" s="11" t="s"/>
      <c r="C24" s="12" t="s">
        <v>13</v>
      </c>
      <c r="D24" s="12" t="s">
        <v>13</v>
      </c>
      <c r="E24" s="12" t="s">
        <v>13</v>
      </c>
      <c r="F24" s="12" t="s">
        <v>13</v>
      </c>
      <c r="G24" s="12"/>
      <c r="H24" s="12"/>
      <c r="I24" s="13"/>
      <c r="J24" s="13" t="n">
        <v>1968</v>
      </c>
      <c r="K24" s="13" t="s">
        <v>62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11" t="s">
        <v>62</v>
      </c>
      <c r="B25" s="11" t="s"/>
      <c r="C25" s="12" t="s">
        <v>13</v>
      </c>
      <c r="D25" s="12" t="s">
        <v>13</v>
      </c>
      <c r="E25" s="12" t="s">
        <v>13</v>
      </c>
      <c r="F25" s="12" t="s">
        <v>13</v>
      </c>
      <c r="G25" s="12"/>
      <c r="H25" s="12"/>
      <c r="I25" s="13"/>
      <c r="J25" s="13" t="n">
        <v>1977</v>
      </c>
      <c r="K25" s="13" t="s">
        <v>63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19.7" hidden="true" customHeight="false" outlineLevel="0" collapsed="false">
      <c r="A26" s="11"/>
      <c r="B26" s="11"/>
      <c r="C26" s="12"/>
      <c r="D26" s="12"/>
      <c r="E26" s="12"/>
      <c r="F26" s="12"/>
      <c r="G26" s="20"/>
      <c r="H26" s="20"/>
      <c r="I26" s="18"/>
      <c r="J26" s="18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11" t="s">
        <v>64</v>
      </c>
      <c r="B27" s="11" t="s"/>
      <c r="C27" s="12" t="s">
        <v>13</v>
      </c>
      <c r="D27" s="12" t="s">
        <v>13</v>
      </c>
      <c r="E27" s="12" t="s">
        <v>13</v>
      </c>
      <c r="F27" s="12" t="s">
        <v>13</v>
      </c>
      <c r="G27" s="20"/>
      <c r="H27" s="20"/>
      <c r="I27" s="18"/>
      <c r="J27" s="18" t="n">
        <v>1983</v>
      </c>
      <c r="K27" s="13" t="s">
        <v>65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SUM(E6:E25)</f>
        <v>0</v>
      </c>
      <c r="F28" s="17" t="n">
        <f aca="false">SUM(F6:F25)</f>
        <v>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0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66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65</v>
      </c>
      <c r="B6" s="21" t="s"/>
      <c r="C6" s="12" t="s">
        <v>13</v>
      </c>
      <c r="D6" s="12" t="s">
        <v>13</v>
      </c>
      <c r="E6" s="12" t="s">
        <v>13</v>
      </c>
      <c r="F6" s="22" t="s">
        <v>13</v>
      </c>
      <c r="G6" s="12"/>
      <c r="H6" s="12"/>
      <c r="I6" s="13"/>
      <c r="J6" s="13" t="n">
        <v>1990</v>
      </c>
      <c r="K6" s="13" t="s">
        <v>67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67</v>
      </c>
      <c r="B7" s="21" t="s"/>
      <c r="C7" s="12" t="s">
        <v>13</v>
      </c>
      <c r="D7" s="12" t="s">
        <v>13</v>
      </c>
      <c r="E7" s="12" t="s">
        <v>13</v>
      </c>
      <c r="F7" s="22" t="s">
        <v>13</v>
      </c>
      <c r="G7" s="12"/>
      <c r="H7" s="12"/>
      <c r="I7" s="13"/>
      <c r="J7" s="13" t="n">
        <v>1999</v>
      </c>
      <c r="K7" s="13" t="s">
        <v>68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68</v>
      </c>
      <c r="B8" s="21" t="s"/>
      <c r="C8" s="12" t="s">
        <v>13</v>
      </c>
      <c r="D8" s="12" t="s">
        <v>13</v>
      </c>
      <c r="E8" s="12" t="s">
        <v>13</v>
      </c>
      <c r="F8" s="22" t="s">
        <v>13</v>
      </c>
      <c r="G8" s="12"/>
      <c r="H8" s="12"/>
      <c r="I8" s="13"/>
      <c r="J8" s="13" t="n">
        <v>2008</v>
      </c>
      <c r="K8" s="13" t="s">
        <v>69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70</v>
      </c>
      <c r="B9" s="21" t="s"/>
      <c r="C9" s="12" t="s">
        <v>13</v>
      </c>
      <c r="D9" s="12" t="s">
        <v>13</v>
      </c>
      <c r="E9" s="12" t="s">
        <v>13</v>
      </c>
      <c r="F9" s="22" t="s">
        <v>13</v>
      </c>
      <c r="G9" s="12"/>
      <c r="H9" s="12"/>
      <c r="I9" s="13"/>
      <c r="J9" s="13" t="n">
        <v>2017</v>
      </c>
      <c r="K9" s="13" t="s">
        <v>71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72</v>
      </c>
      <c r="B10" s="21" t="s"/>
      <c r="C10" s="12" t="s">
        <v>13</v>
      </c>
      <c r="D10" s="12" t="s">
        <v>13</v>
      </c>
      <c r="E10" s="12" t="s">
        <v>13</v>
      </c>
      <c r="F10" s="22" t="s">
        <v>13</v>
      </c>
      <c r="G10" s="12"/>
      <c r="H10" s="12"/>
      <c r="I10" s="13"/>
      <c r="J10" s="13" t="n">
        <v>2022</v>
      </c>
      <c r="K10" s="13" t="s">
        <v>73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74</v>
      </c>
      <c r="B11" s="21" t="s"/>
      <c r="C11" s="12" t="s">
        <v>13</v>
      </c>
      <c r="D11" s="12" t="s">
        <v>13</v>
      </c>
      <c r="E11" s="12" t="s">
        <v>13</v>
      </c>
      <c r="F11" s="22" t="s">
        <v>13</v>
      </c>
      <c r="G11" s="12"/>
      <c r="H11" s="12"/>
      <c r="I11" s="13"/>
      <c r="J11" s="13" t="n">
        <v>2027</v>
      </c>
      <c r="K11" s="13" t="s">
        <v>75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73</v>
      </c>
      <c r="B12" s="21" t="s"/>
      <c r="C12" s="12" t="s">
        <v>13</v>
      </c>
      <c r="D12" s="12" t="s">
        <v>13</v>
      </c>
      <c r="E12" s="12" t="s">
        <v>13</v>
      </c>
      <c r="F12" s="22" t="s">
        <v>13</v>
      </c>
      <c r="G12" s="12"/>
      <c r="H12" s="12"/>
      <c r="I12" s="13"/>
      <c r="J12" s="13" t="n">
        <v>2033</v>
      </c>
      <c r="K12" s="13" t="s">
        <v>75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76</v>
      </c>
      <c r="B13" s="21" t="s"/>
      <c r="C13" s="23" t="s">
        <v>77</v>
      </c>
      <c r="D13" s="23" t="s">
        <v>78</v>
      </c>
      <c r="E13" s="12" t="n">
        <v>64</v>
      </c>
      <c r="F13" s="22" t="n">
        <v>92000</v>
      </c>
      <c r="G13" s="12"/>
      <c r="H13" s="12"/>
      <c r="I13" s="13"/>
      <c r="J13" s="13" t="n">
        <v>2040</v>
      </c>
      <c r="K13" s="13" t="s">
        <v>79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79</v>
      </c>
      <c r="B14" s="21" t="s"/>
      <c r="C14" s="23" t="s">
        <v>80</v>
      </c>
      <c r="D14" s="23" t="s">
        <v>81</v>
      </c>
      <c r="E14" s="12" t="n">
        <v>43</v>
      </c>
      <c r="F14" s="22" t="n">
        <v>69100</v>
      </c>
      <c r="G14" s="12"/>
      <c r="H14" s="12"/>
      <c r="I14" s="13"/>
      <c r="J14" s="13" t="n">
        <v>2053</v>
      </c>
      <c r="K14" s="13" t="s">
        <v>82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82</v>
      </c>
      <c r="B15" s="21" t="s"/>
      <c r="C15" s="23" t="s">
        <v>83</v>
      </c>
      <c r="D15" s="23" t="s">
        <v>84</v>
      </c>
      <c r="E15" s="12" t="n">
        <v>27</v>
      </c>
      <c r="F15" s="22" t="n">
        <v>41400</v>
      </c>
      <c r="G15" s="12"/>
      <c r="H15" s="12"/>
      <c r="I15" s="13"/>
      <c r="J15" s="13" t="n">
        <v>2060</v>
      </c>
      <c r="K15" s="13" t="s">
        <v>85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85</v>
      </c>
      <c r="B16" s="21" t="s"/>
      <c r="C16" s="23" t="s">
        <v>86</v>
      </c>
      <c r="D16" s="23" t="s">
        <v>87</v>
      </c>
      <c r="E16" s="12" t="n">
        <v>36</v>
      </c>
      <c r="F16" s="22" t="n">
        <v>52400</v>
      </c>
      <c r="G16" s="12"/>
      <c r="H16" s="12"/>
      <c r="I16" s="13"/>
      <c r="J16" s="13" t="n">
        <v>2068</v>
      </c>
      <c r="K16" s="13" t="s">
        <v>88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88</v>
      </c>
      <c r="B17" s="21" t="s"/>
      <c r="C17" s="23" t="s">
        <v>89</v>
      </c>
      <c r="D17" s="23" t="s">
        <v>90</v>
      </c>
      <c r="E17" s="12" t="n">
        <v>42</v>
      </c>
      <c r="F17" s="22" t="n">
        <v>83400</v>
      </c>
      <c r="G17" s="12"/>
      <c r="H17" s="12"/>
      <c r="I17" s="13"/>
      <c r="J17" s="13" t="n">
        <v>2077</v>
      </c>
      <c r="K17" s="13" t="s">
        <v>91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92</v>
      </c>
      <c r="B18" s="21" t="s"/>
      <c r="C18" s="23" t="s">
        <v>93</v>
      </c>
      <c r="D18" s="23" t="s">
        <v>94</v>
      </c>
      <c r="E18" s="12" t="n">
        <v>76</v>
      </c>
      <c r="F18" s="22" t="n">
        <v>99900</v>
      </c>
      <c r="G18" s="12"/>
      <c r="H18" s="12"/>
      <c r="I18" s="13"/>
      <c r="J18" s="13" t="n">
        <v>2084</v>
      </c>
      <c r="K18" s="13" t="s">
        <v>95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95</v>
      </c>
      <c r="B19" s="21" t="s"/>
      <c r="C19" s="23" t="s">
        <v>96</v>
      </c>
      <c r="D19" s="23" t="s">
        <v>97</v>
      </c>
      <c r="E19" s="12" t="n">
        <v>35</v>
      </c>
      <c r="F19" s="22" t="n">
        <v>53100</v>
      </c>
      <c r="G19" s="12"/>
      <c r="H19" s="12"/>
      <c r="I19" s="13"/>
      <c r="J19" s="13" t="n">
        <v>2092</v>
      </c>
      <c r="K19" s="13" t="s">
        <v>98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98</v>
      </c>
      <c r="B20" s="21" t="s"/>
      <c r="C20" s="23" t="s">
        <v>99</v>
      </c>
      <c r="D20" s="23" t="s">
        <v>100</v>
      </c>
      <c r="E20" s="12" t="n">
        <v>42</v>
      </c>
      <c r="F20" s="22" t="n">
        <v>62500</v>
      </c>
      <c r="G20" s="12"/>
      <c r="H20" s="12"/>
      <c r="I20" s="13"/>
      <c r="J20" s="13" t="n">
        <v>2100</v>
      </c>
      <c r="K20" s="13" t="s">
        <v>101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101</v>
      </c>
      <c r="B21" s="21" t="s"/>
      <c r="C21" s="23" t="s">
        <v>102</v>
      </c>
      <c r="D21" s="23" t="s">
        <v>103</v>
      </c>
      <c r="E21" s="12" t="n">
        <v>48</v>
      </c>
      <c r="F21" s="22" t="n">
        <v>72800</v>
      </c>
      <c r="G21" s="12"/>
      <c r="H21" s="12"/>
      <c r="I21" s="13"/>
      <c r="J21" s="13" t="n">
        <v>2109</v>
      </c>
      <c r="K21" s="13" t="s">
        <v>104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9.7" hidden="true" customHeight="false" outlineLevel="0" collapsed="false">
      <c r="A22" s="21"/>
      <c r="B22" s="21"/>
      <c r="C22" s="12"/>
      <c r="D22" s="12"/>
      <c r="E22" s="12"/>
      <c r="F22" s="22"/>
      <c r="G22" s="12"/>
      <c r="H22" s="12"/>
      <c r="I22" s="13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19.7" hidden="true" customHeight="false" outlineLevel="0" collapsed="false">
      <c r="A23" s="21"/>
      <c r="B23" s="21"/>
      <c r="C23" s="12"/>
      <c r="D23" s="12"/>
      <c r="E23" s="12"/>
      <c r="F23" s="22"/>
      <c r="G23" s="12"/>
      <c r="H23" s="12"/>
      <c r="I23" s="13"/>
      <c r="J23" s="13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9.7" hidden="true" customHeight="false" outlineLevel="0" collapsed="false">
      <c r="A24" s="21"/>
      <c r="B24" s="21"/>
      <c r="C24" s="12"/>
      <c r="D24" s="12"/>
      <c r="E24" s="12"/>
      <c r="F24" s="22"/>
      <c r="G24" s="12"/>
      <c r="H24" s="12"/>
      <c r="I24" s="13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104</v>
      </c>
      <c r="B25" s="21" t="s"/>
      <c r="C25" s="23" t="s">
        <v>105</v>
      </c>
      <c r="D25" s="23" t="s">
        <v>106</v>
      </c>
      <c r="E25" s="12" t="n">
        <v>28</v>
      </c>
      <c r="F25" s="22" t="n">
        <v>38700</v>
      </c>
      <c r="G25" s="12"/>
      <c r="H25" s="12"/>
      <c r="I25" s="13"/>
      <c r="J25" s="13" t="n">
        <v>2115</v>
      </c>
      <c r="K25" s="13" t="s">
        <v>107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108</v>
      </c>
      <c r="B26" s="21" t="s"/>
      <c r="C26" s="23" t="s">
        <v>109</v>
      </c>
      <c r="D26" s="23" t="s">
        <v>110</v>
      </c>
      <c r="E26" s="12" t="n">
        <v>88</v>
      </c>
      <c r="F26" s="22" t="n">
        <v>137800</v>
      </c>
      <c r="G26" s="12"/>
      <c r="H26" s="12"/>
      <c r="I26" s="13"/>
      <c r="J26" s="13" t="n">
        <v>2128</v>
      </c>
      <c r="K26" s="13" t="s">
        <v>111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111</v>
      </c>
      <c r="B27" s="21" t="s"/>
      <c r="C27" s="23" t="s">
        <v>112</v>
      </c>
      <c r="D27" s="23" t="s">
        <v>113</v>
      </c>
      <c r="E27" s="12" t="n">
        <v>40</v>
      </c>
      <c r="F27" s="22" t="n">
        <v>70300</v>
      </c>
      <c r="G27" s="12"/>
      <c r="H27" s="12"/>
      <c r="I27" s="13"/>
      <c r="J27" s="13" t="n">
        <v>2134</v>
      </c>
      <c r="K27" s="13" t="s">
        <v>114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569</v>
      </c>
      <c r="F28" s="24" t="n">
        <f aca="false">SUM(F6:F27)</f>
        <v>873400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115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116</v>
      </c>
      <c r="B6" s="21" t="s"/>
      <c r="C6" s="23" t="s">
        <v>117</v>
      </c>
      <c r="D6" s="23" t="s">
        <v>118</v>
      </c>
      <c r="E6" s="12" t="n">
        <v>100</v>
      </c>
      <c r="F6" s="22" t="n">
        <v>127100</v>
      </c>
      <c r="G6" s="12"/>
      <c r="H6" s="12"/>
      <c r="I6" s="13"/>
      <c r="J6" s="13" t="n">
        <v>4</v>
      </c>
      <c r="K6" s="13" t="s">
        <v>119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119</v>
      </c>
      <c r="B7" s="21" t="s"/>
      <c r="C7" s="23" t="s">
        <v>120</v>
      </c>
      <c r="D7" s="23" t="s">
        <v>121</v>
      </c>
      <c r="E7" s="12" t="n">
        <v>65</v>
      </c>
      <c r="F7" s="22" t="n">
        <v>86200</v>
      </c>
      <c r="G7" s="12"/>
      <c r="H7" s="12"/>
      <c r="I7" s="13"/>
      <c r="J7" s="13" t="n">
        <v>12</v>
      </c>
      <c r="K7" s="13" t="s">
        <v>122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122</v>
      </c>
      <c r="B8" s="21" t="s"/>
      <c r="C8" s="23" t="s">
        <v>123</v>
      </c>
      <c r="D8" s="23" t="s">
        <v>124</v>
      </c>
      <c r="E8" s="12" t="n">
        <v>60</v>
      </c>
      <c r="F8" s="22" t="n">
        <v>113300</v>
      </c>
      <c r="G8" s="12"/>
      <c r="H8" s="12"/>
      <c r="I8" s="13"/>
      <c r="J8" s="13" t="n">
        <v>18</v>
      </c>
      <c r="K8" s="13" t="s">
        <v>125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125</v>
      </c>
      <c r="B9" s="21" t="s"/>
      <c r="C9" s="23" t="s">
        <v>126</v>
      </c>
      <c r="D9" s="23" t="s">
        <v>127</v>
      </c>
      <c r="E9" s="12" t="n">
        <v>45</v>
      </c>
      <c r="F9" s="22" t="n">
        <v>59500</v>
      </c>
      <c r="G9" s="12"/>
      <c r="H9" s="12"/>
      <c r="I9" s="13"/>
      <c r="J9" s="13" t="n">
        <v>26</v>
      </c>
      <c r="K9" s="13" t="s">
        <v>128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128</v>
      </c>
      <c r="B10" s="21" t="s"/>
      <c r="C10" s="23" t="s">
        <v>129</v>
      </c>
      <c r="D10" s="23" t="s">
        <v>130</v>
      </c>
      <c r="E10" s="12" t="n">
        <v>47</v>
      </c>
      <c r="F10" s="22" t="n">
        <v>55800</v>
      </c>
      <c r="G10" s="12"/>
      <c r="H10" s="12"/>
      <c r="I10" s="13"/>
      <c r="J10" s="13" t="n">
        <v>31</v>
      </c>
      <c r="K10" s="13" t="s">
        <v>131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132</v>
      </c>
      <c r="B11" s="21" t="s"/>
      <c r="C11" s="23" t="s">
        <v>133</v>
      </c>
      <c r="D11" s="23" t="s">
        <v>134</v>
      </c>
      <c r="E11" s="12" t="n">
        <v>96</v>
      </c>
      <c r="F11" s="22" t="n">
        <v>126100</v>
      </c>
      <c r="G11" s="12"/>
      <c r="H11" s="12"/>
      <c r="I11" s="13"/>
      <c r="J11" s="13" t="n">
        <v>37</v>
      </c>
      <c r="K11" s="13" t="s">
        <v>135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135</v>
      </c>
      <c r="B12" s="21" t="s"/>
      <c r="C12" s="23" t="s">
        <v>136</v>
      </c>
      <c r="D12" s="23" t="s">
        <v>137</v>
      </c>
      <c r="E12" s="12" t="n">
        <v>41</v>
      </c>
      <c r="F12" s="22" t="n">
        <v>46500</v>
      </c>
      <c r="G12" s="12"/>
      <c r="H12" s="12"/>
      <c r="I12" s="13"/>
      <c r="J12" s="13" t="n">
        <v>44</v>
      </c>
      <c r="K12" s="13" t="s">
        <v>138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138</v>
      </c>
      <c r="B13" s="21" t="s"/>
      <c r="C13" s="23" t="s">
        <v>139</v>
      </c>
      <c r="D13" s="23" t="s">
        <v>140</v>
      </c>
      <c r="E13" s="12" t="n">
        <v>43</v>
      </c>
      <c r="F13" s="22" t="n">
        <v>56200</v>
      </c>
      <c r="G13" s="12"/>
      <c r="H13" s="12"/>
      <c r="I13" s="13"/>
      <c r="J13" s="13" t="n">
        <v>57</v>
      </c>
      <c r="K13" s="13" t="s">
        <v>141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141</v>
      </c>
      <c r="B14" s="21" t="s"/>
      <c r="C14" s="23" t="s">
        <v>142</v>
      </c>
      <c r="D14" s="23" t="s">
        <v>143</v>
      </c>
      <c r="E14" s="12" t="n">
        <v>47</v>
      </c>
      <c r="F14" s="22" t="n">
        <v>59400</v>
      </c>
      <c r="G14" s="12"/>
      <c r="H14" s="12"/>
      <c r="I14" s="13"/>
      <c r="J14" s="13" t="n">
        <v>62</v>
      </c>
      <c r="K14" s="13" t="s">
        <v>144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144</v>
      </c>
      <c r="B15" s="21" t="s"/>
      <c r="C15" s="23" t="s">
        <v>145</v>
      </c>
      <c r="D15" s="23" t="s">
        <v>146</v>
      </c>
      <c r="E15" s="12" t="n">
        <v>46</v>
      </c>
      <c r="F15" s="22" t="n">
        <v>68000</v>
      </c>
      <c r="G15" s="12"/>
      <c r="H15" s="12"/>
      <c r="I15" s="13"/>
      <c r="J15" s="13" t="n">
        <v>69</v>
      </c>
      <c r="K15" s="13" t="s">
        <v>147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148</v>
      </c>
      <c r="B16" s="21" t="s"/>
      <c r="C16" s="23" t="s">
        <v>149</v>
      </c>
      <c r="D16" s="23" t="s">
        <v>150</v>
      </c>
      <c r="E16" s="12" t="n">
        <v>67</v>
      </c>
      <c r="F16" s="22" t="n">
        <v>82700</v>
      </c>
      <c r="G16" s="12"/>
      <c r="H16" s="12"/>
      <c r="I16" s="13"/>
      <c r="J16" s="13" t="n">
        <v>79</v>
      </c>
      <c r="K16" s="13" t="s">
        <v>151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151</v>
      </c>
      <c r="B17" s="21" t="s"/>
      <c r="C17" s="23" t="s">
        <v>152</v>
      </c>
      <c r="D17" s="23" t="s">
        <v>153</v>
      </c>
      <c r="E17" s="12" t="n">
        <v>56</v>
      </c>
      <c r="F17" s="22" t="n">
        <v>68500</v>
      </c>
      <c r="G17" s="12"/>
      <c r="H17" s="12"/>
      <c r="I17" s="13"/>
      <c r="J17" s="13" t="n">
        <v>83</v>
      </c>
      <c r="K17" s="13" t="s">
        <v>154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154</v>
      </c>
      <c r="B18" s="21" t="s"/>
      <c r="C18" s="23" t="s">
        <v>155</v>
      </c>
      <c r="D18" s="23" t="s">
        <v>156</v>
      </c>
      <c r="E18" s="12" t="n">
        <v>34</v>
      </c>
      <c r="F18" s="22" t="n">
        <v>42800</v>
      </c>
      <c r="G18" s="12"/>
      <c r="H18" s="12"/>
      <c r="I18" s="13"/>
      <c r="J18" s="13" t="n">
        <v>88</v>
      </c>
      <c r="K18" s="13" t="s">
        <v>157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157</v>
      </c>
      <c r="B19" s="21" t="s"/>
      <c r="C19" s="23" t="s">
        <v>158</v>
      </c>
      <c r="D19" s="23" t="s">
        <v>159</v>
      </c>
      <c r="E19" s="12" t="n">
        <v>38</v>
      </c>
      <c r="F19" s="22" t="n">
        <v>50500</v>
      </c>
      <c r="G19" s="12"/>
      <c r="H19" s="12"/>
      <c r="I19" s="13"/>
      <c r="J19" s="13" t="n">
        <v>101</v>
      </c>
      <c r="K19" s="13" t="s">
        <v>160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160</v>
      </c>
      <c r="B20" s="21" t="s"/>
      <c r="C20" s="23" t="s">
        <v>161</v>
      </c>
      <c r="D20" s="23" t="s">
        <v>162</v>
      </c>
      <c r="E20" s="12" t="n">
        <v>37</v>
      </c>
      <c r="F20" s="22" t="n">
        <v>76100</v>
      </c>
      <c r="G20" s="12"/>
      <c r="H20" s="12"/>
      <c r="I20" s="13"/>
      <c r="J20" s="13" t="n">
        <v>110</v>
      </c>
      <c r="K20" s="13" t="s">
        <v>163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164</v>
      </c>
      <c r="B21" s="21" t="s"/>
      <c r="C21" s="23" t="s">
        <v>165</v>
      </c>
      <c r="D21" s="23" t="s">
        <v>166</v>
      </c>
      <c r="E21" s="12" t="n">
        <v>52</v>
      </c>
      <c r="F21" s="22" t="n">
        <v>64100</v>
      </c>
      <c r="G21" s="12"/>
      <c r="H21" s="12"/>
      <c r="I21" s="13"/>
      <c r="J21" s="13" t="n">
        <v>116</v>
      </c>
      <c r="K21" s="13" t="s">
        <v>167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167</v>
      </c>
      <c r="B22" s="21" t="s"/>
      <c r="C22" s="23" t="s">
        <v>168</v>
      </c>
      <c r="D22" s="23" t="s">
        <v>169</v>
      </c>
      <c r="E22" s="12" t="n">
        <v>34</v>
      </c>
      <c r="F22" s="22" t="n">
        <v>41600</v>
      </c>
      <c r="G22" s="12"/>
      <c r="H22" s="12"/>
      <c r="I22" s="13"/>
      <c r="J22" s="13" t="n">
        <v>124</v>
      </c>
      <c r="K22" s="13" t="s">
        <v>170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170</v>
      </c>
      <c r="B23" s="21" t="s"/>
      <c r="C23" s="23" t="s">
        <v>171</v>
      </c>
      <c r="D23" s="23" t="s">
        <v>172</v>
      </c>
      <c r="E23" s="12" t="n">
        <v>35</v>
      </c>
      <c r="F23" s="22" t="n">
        <v>41800</v>
      </c>
      <c r="G23" s="12"/>
      <c r="H23" s="12"/>
      <c r="I23" s="13"/>
      <c r="J23" s="13" t="n">
        <v>132</v>
      </c>
      <c r="K23" s="13" t="s">
        <v>173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9.7" hidden="true" customHeight="false" outlineLevel="0" collapsed="false">
      <c r="A24" s="21"/>
      <c r="B24" s="21"/>
      <c r="C24" s="12"/>
      <c r="D24" s="12"/>
      <c r="E24" s="12"/>
      <c r="F24" s="22"/>
      <c r="G24" s="12"/>
      <c r="H24" s="12"/>
      <c r="I24" s="13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19.7" hidden="true" customHeight="false" outlineLevel="0" collapsed="false">
      <c r="A25" s="21"/>
      <c r="B25" s="21"/>
      <c r="C25" s="12"/>
      <c r="D25" s="12"/>
      <c r="E25" s="12"/>
      <c r="F25" s="22"/>
      <c r="G25" s="12"/>
      <c r="H25" s="12"/>
      <c r="I25" s="13"/>
      <c r="J25" s="13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173</v>
      </c>
      <c r="B26" s="21" t="s"/>
      <c r="C26" s="23" t="s">
        <v>174</v>
      </c>
      <c r="D26" s="23" t="s">
        <v>175</v>
      </c>
      <c r="E26" s="12" t="n">
        <v>27</v>
      </c>
      <c r="F26" s="22" t="n">
        <v>35100</v>
      </c>
      <c r="G26" s="12"/>
      <c r="H26" s="12"/>
      <c r="I26" s="13"/>
      <c r="J26" s="13" t="n">
        <v>137</v>
      </c>
      <c r="K26" s="13" t="s">
        <v>176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176</v>
      </c>
      <c r="B27" s="21" t="s"/>
      <c r="C27" s="23" t="s">
        <v>177</v>
      </c>
      <c r="D27" s="23" t="s">
        <v>178</v>
      </c>
      <c r="E27" s="12" t="n">
        <v>27</v>
      </c>
      <c r="F27" s="22" t="n">
        <v>35000</v>
      </c>
      <c r="G27" s="12"/>
      <c r="H27" s="12"/>
      <c r="I27" s="13"/>
      <c r="J27" s="13" t="n">
        <v>145</v>
      </c>
      <c r="K27" s="13" t="s">
        <v>179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997</v>
      </c>
      <c r="F28" s="24" t="n">
        <f aca="false">SUM(F6:F27)</f>
        <v>1336300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180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181</v>
      </c>
      <c r="B6" s="21" t="s"/>
      <c r="C6" s="23" t="s">
        <v>182</v>
      </c>
      <c r="D6" s="23" t="s">
        <v>183</v>
      </c>
      <c r="E6" s="12" t="n">
        <v>59</v>
      </c>
      <c r="F6" s="22" t="n">
        <v>69200</v>
      </c>
      <c r="G6" s="12"/>
      <c r="H6" s="12"/>
      <c r="I6" s="13"/>
      <c r="J6" s="13" t="n">
        <v>156</v>
      </c>
      <c r="K6" s="13" t="s">
        <v>184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185</v>
      </c>
      <c r="B7" s="21" t="s"/>
      <c r="C7" s="23" t="s">
        <v>186</v>
      </c>
      <c r="D7" s="23" t="s">
        <v>187</v>
      </c>
      <c r="E7" s="12" t="n">
        <v>31</v>
      </c>
      <c r="F7" s="22" t="n">
        <v>35200</v>
      </c>
      <c r="G7" s="12"/>
      <c r="H7" s="12"/>
      <c r="I7" s="13"/>
      <c r="J7" s="13" t="n">
        <v>164</v>
      </c>
      <c r="K7" s="13" t="s">
        <v>188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189</v>
      </c>
      <c r="B8" s="21" t="s"/>
      <c r="C8" s="23" t="s">
        <v>190</v>
      </c>
      <c r="D8" s="23" t="s">
        <v>191</v>
      </c>
      <c r="E8" s="12" t="n">
        <v>40</v>
      </c>
      <c r="F8" s="22" t="n">
        <v>62300</v>
      </c>
      <c r="G8" s="12"/>
      <c r="H8" s="12"/>
      <c r="I8" s="13"/>
      <c r="J8" s="13" t="n">
        <v>171</v>
      </c>
      <c r="K8" s="13" t="s">
        <v>192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193</v>
      </c>
      <c r="B9" s="21" t="s"/>
      <c r="C9" s="23" t="s">
        <v>194</v>
      </c>
      <c r="D9" s="23" t="s">
        <v>195</v>
      </c>
      <c r="E9" s="12" t="n">
        <v>34</v>
      </c>
      <c r="F9" s="22" t="n">
        <v>141300</v>
      </c>
      <c r="G9" s="12"/>
      <c r="H9" s="12"/>
      <c r="I9" s="13"/>
      <c r="J9" s="13" t="n">
        <v>176</v>
      </c>
      <c r="K9" s="13" t="s">
        <v>196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197</v>
      </c>
      <c r="B10" s="21" t="s"/>
      <c r="C10" s="23" t="s">
        <v>198</v>
      </c>
      <c r="D10" s="23" t="s">
        <v>199</v>
      </c>
      <c r="E10" s="12" t="n">
        <v>34</v>
      </c>
      <c r="F10" s="22" t="n">
        <v>36200</v>
      </c>
      <c r="G10" s="12"/>
      <c r="H10" s="12"/>
      <c r="I10" s="13"/>
      <c r="J10" s="13" t="n">
        <v>185</v>
      </c>
      <c r="K10" s="13" t="s">
        <v>200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201</v>
      </c>
      <c r="B11" s="21" t="s"/>
      <c r="C11" s="23" t="s">
        <v>202</v>
      </c>
      <c r="D11" s="23" t="s">
        <v>203</v>
      </c>
      <c r="E11" s="12" t="n">
        <v>51</v>
      </c>
      <c r="F11" s="22" t="n">
        <v>66400</v>
      </c>
      <c r="G11" s="12"/>
      <c r="H11" s="12"/>
      <c r="I11" s="13"/>
      <c r="J11" s="13" t="n">
        <v>194</v>
      </c>
      <c r="K11" s="13" t="s">
        <v>204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205</v>
      </c>
      <c r="B12" s="21" t="s"/>
      <c r="C12" s="23" t="s">
        <v>206</v>
      </c>
      <c r="D12" s="23" t="s">
        <v>207</v>
      </c>
      <c r="E12" s="12" t="n">
        <v>33</v>
      </c>
      <c r="F12" s="22" t="n">
        <v>48400</v>
      </c>
      <c r="G12" s="12"/>
      <c r="H12" s="12"/>
      <c r="I12" s="13"/>
      <c r="J12" s="13" t="n">
        <v>205</v>
      </c>
      <c r="K12" s="13" t="s">
        <v>208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209</v>
      </c>
      <c r="B13" s="21" t="s"/>
      <c r="C13" s="23" t="s">
        <v>210</v>
      </c>
      <c r="D13" s="23" t="s">
        <v>211</v>
      </c>
      <c r="E13" s="12" t="n">
        <v>33</v>
      </c>
      <c r="F13" s="22" t="n">
        <v>39100</v>
      </c>
      <c r="G13" s="12"/>
      <c r="H13" s="12"/>
      <c r="I13" s="13"/>
      <c r="J13" s="13" t="n">
        <v>209</v>
      </c>
      <c r="K13" s="13" t="s">
        <v>212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213</v>
      </c>
      <c r="B14" s="21" t="s"/>
      <c r="C14" s="23" t="s">
        <v>214</v>
      </c>
      <c r="D14" s="23" t="s">
        <v>215</v>
      </c>
      <c r="E14" s="12" t="n">
        <v>23</v>
      </c>
      <c r="F14" s="22" t="n">
        <v>29800</v>
      </c>
      <c r="G14" s="12"/>
      <c r="H14" s="12"/>
      <c r="I14" s="13"/>
      <c r="J14" s="13" t="n">
        <v>217</v>
      </c>
      <c r="K14" s="13" t="s">
        <v>216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217</v>
      </c>
      <c r="B15" s="21" t="s"/>
      <c r="C15" s="23" t="s">
        <v>218</v>
      </c>
      <c r="D15" s="23" t="s">
        <v>219</v>
      </c>
      <c r="E15" s="12" t="n">
        <v>20</v>
      </c>
      <c r="F15" s="22" t="n">
        <v>20000</v>
      </c>
      <c r="G15" s="12"/>
      <c r="H15" s="12"/>
      <c r="I15" s="13"/>
      <c r="J15" s="13" t="n">
        <v>221</v>
      </c>
      <c r="K15" s="13" t="s">
        <v>220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221</v>
      </c>
      <c r="B16" s="21" t="s"/>
      <c r="C16" s="23" t="s">
        <v>222</v>
      </c>
      <c r="D16" s="23" t="s">
        <v>223</v>
      </c>
      <c r="E16" s="12" t="n">
        <v>51</v>
      </c>
      <c r="F16" s="22" t="n">
        <v>63800</v>
      </c>
      <c r="G16" s="12"/>
      <c r="H16" s="12"/>
      <c r="I16" s="13"/>
      <c r="J16" s="13" t="n">
        <v>230</v>
      </c>
      <c r="K16" s="13" t="s">
        <v>224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225</v>
      </c>
      <c r="B17" s="21" t="s"/>
      <c r="C17" s="23" t="s">
        <v>226</v>
      </c>
      <c r="D17" s="23" t="s">
        <v>227</v>
      </c>
      <c r="E17" s="12" t="n">
        <v>24</v>
      </c>
      <c r="F17" s="22" t="n">
        <v>26500</v>
      </c>
      <c r="G17" s="12"/>
      <c r="H17" s="12"/>
      <c r="I17" s="13"/>
      <c r="J17" s="13" t="n">
        <v>239</v>
      </c>
      <c r="K17" s="13" t="s">
        <v>228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229</v>
      </c>
      <c r="B18" s="21" t="s"/>
      <c r="C18" s="23" t="s">
        <v>230</v>
      </c>
      <c r="D18" s="23" t="s">
        <v>231</v>
      </c>
      <c r="E18" s="12" t="n">
        <v>21</v>
      </c>
      <c r="F18" s="22" t="n">
        <v>25600</v>
      </c>
      <c r="G18" s="12"/>
      <c r="H18" s="12"/>
      <c r="I18" s="13"/>
      <c r="J18" s="13" t="n">
        <v>246</v>
      </c>
      <c r="K18" s="13" t="s">
        <v>232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233</v>
      </c>
      <c r="B19" s="21" t="s"/>
      <c r="C19" s="23" t="s">
        <v>234</v>
      </c>
      <c r="D19" s="23" t="s">
        <v>235</v>
      </c>
      <c r="E19" s="12" t="n">
        <v>22</v>
      </c>
      <c r="F19" s="22" t="n">
        <v>23900</v>
      </c>
      <c r="G19" s="12"/>
      <c r="H19" s="12"/>
      <c r="I19" s="13"/>
      <c r="J19" s="13" t="n">
        <v>253</v>
      </c>
      <c r="K19" s="13" t="s">
        <v>236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237</v>
      </c>
      <c r="B20" s="21" t="s"/>
      <c r="C20" s="23" t="s">
        <v>238</v>
      </c>
      <c r="D20" s="23" t="s">
        <v>239</v>
      </c>
      <c r="E20" s="12" t="n">
        <v>24</v>
      </c>
      <c r="F20" s="22" t="n">
        <v>39700</v>
      </c>
      <c r="G20" s="12"/>
      <c r="H20" s="12"/>
      <c r="I20" s="13"/>
      <c r="J20" s="13" t="n">
        <v>263</v>
      </c>
      <c r="K20" s="13" t="s">
        <v>240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241</v>
      </c>
      <c r="B21" s="21" t="s"/>
      <c r="C21" s="23" t="s">
        <v>242</v>
      </c>
      <c r="D21" s="23" t="s">
        <v>243</v>
      </c>
      <c r="E21" s="12" t="n">
        <v>63</v>
      </c>
      <c r="F21" s="22" t="n">
        <v>113500</v>
      </c>
      <c r="G21" s="12"/>
      <c r="H21" s="12"/>
      <c r="I21" s="13"/>
      <c r="J21" s="13" t="n">
        <v>268</v>
      </c>
      <c r="K21" s="13" t="s">
        <v>244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245</v>
      </c>
      <c r="B22" s="21" t="s"/>
      <c r="C22" s="23" t="s">
        <v>246</v>
      </c>
      <c r="D22" s="23" t="s">
        <v>247</v>
      </c>
      <c r="E22" s="12" t="n">
        <v>34</v>
      </c>
      <c r="F22" s="22" t="n">
        <v>41400</v>
      </c>
      <c r="G22" s="12"/>
      <c r="H22" s="12"/>
      <c r="I22" s="13"/>
      <c r="J22" s="13" t="n">
        <v>272</v>
      </c>
      <c r="K22" s="13" t="s">
        <v>248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249</v>
      </c>
      <c r="B23" s="21" t="s"/>
      <c r="C23" s="23" t="s">
        <v>250</v>
      </c>
      <c r="D23" s="23" t="s">
        <v>251</v>
      </c>
      <c r="E23" s="12" t="n">
        <v>40</v>
      </c>
      <c r="F23" s="22" t="n">
        <v>52600</v>
      </c>
      <c r="G23" s="12"/>
      <c r="H23" s="12"/>
      <c r="I23" s="13"/>
      <c r="J23" s="13" t="n">
        <v>283</v>
      </c>
      <c r="K23" s="13" t="s">
        <v>252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9.7" hidden="true" customHeight="false" outlineLevel="0" collapsed="false">
      <c r="A24" s="21"/>
      <c r="B24" s="21"/>
      <c r="C24" s="12"/>
      <c r="D24" s="12"/>
      <c r="E24" s="12"/>
      <c r="F24" s="22"/>
      <c r="G24" s="12"/>
      <c r="H24" s="12"/>
      <c r="I24" s="13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19.7" hidden="true" customHeight="false" outlineLevel="0" collapsed="false">
      <c r="A25" s="21"/>
      <c r="B25" s="21"/>
      <c r="C25" s="12"/>
      <c r="D25" s="12"/>
      <c r="E25" s="12"/>
      <c r="F25" s="22"/>
      <c r="G25" s="12"/>
      <c r="H25" s="12"/>
      <c r="I25" s="13"/>
      <c r="J25" s="13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253</v>
      </c>
      <c r="B26" s="21" t="s"/>
      <c r="C26" s="23" t="s">
        <v>254</v>
      </c>
      <c r="D26" s="23" t="s">
        <v>255</v>
      </c>
      <c r="E26" s="12" t="n">
        <v>42</v>
      </c>
      <c r="F26" s="22" t="n">
        <v>53300</v>
      </c>
      <c r="G26" s="12"/>
      <c r="H26" s="12"/>
      <c r="I26" s="13"/>
      <c r="J26" s="13" t="n">
        <v>289</v>
      </c>
      <c r="K26" s="13" t="s">
        <v>256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257</v>
      </c>
      <c r="B27" s="21" t="s"/>
      <c r="C27" s="23" t="s">
        <v>258</v>
      </c>
      <c r="D27" s="23" t="s">
        <v>259</v>
      </c>
      <c r="E27" s="12" t="n">
        <v>52</v>
      </c>
      <c r="F27" s="22" t="n">
        <v>81700</v>
      </c>
      <c r="G27" s="12"/>
      <c r="H27" s="12"/>
      <c r="I27" s="13"/>
      <c r="J27" s="13" t="n">
        <v>299</v>
      </c>
      <c r="K27" s="13" t="s">
        <v>260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731</v>
      </c>
      <c r="F28" s="24" t="n">
        <f aca="false">SUM(F6:F27)</f>
        <v>1069900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261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262</v>
      </c>
      <c r="B6" s="21" t="s"/>
      <c r="C6" s="23" t="s">
        <v>263</v>
      </c>
      <c r="D6" s="23" t="s">
        <v>264</v>
      </c>
      <c r="E6" s="12" t="n">
        <v>145</v>
      </c>
      <c r="F6" s="22" t="n">
        <v>200100</v>
      </c>
      <c r="G6" s="12"/>
      <c r="H6" s="12"/>
      <c r="I6" s="13"/>
      <c r="J6" s="13" t="n">
        <v>303</v>
      </c>
      <c r="K6" s="13" t="s">
        <v>265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266</v>
      </c>
      <c r="B7" s="21" t="s"/>
      <c r="C7" s="12" t="s">
        <v>13</v>
      </c>
      <c r="D7" s="12" t="s">
        <v>13</v>
      </c>
      <c r="E7" s="12" t="s">
        <v>13</v>
      </c>
      <c r="F7" s="22" t="s">
        <v>13</v>
      </c>
      <c r="G7" s="12"/>
      <c r="H7" s="12"/>
      <c r="I7" s="13"/>
      <c r="J7" s="13" t="n">
        <v>311</v>
      </c>
      <c r="K7" s="13" t="s">
        <v>267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267</v>
      </c>
      <c r="B8" s="21" t="s"/>
      <c r="C8" s="12" t="s">
        <v>13</v>
      </c>
      <c r="D8" s="12" t="s">
        <v>13</v>
      </c>
      <c r="E8" s="12" t="s">
        <v>13</v>
      </c>
      <c r="F8" s="22" t="s">
        <v>13</v>
      </c>
      <c r="G8" s="12"/>
      <c r="H8" s="12"/>
      <c r="I8" s="13"/>
      <c r="J8" s="13" t="n">
        <v>319</v>
      </c>
      <c r="K8" s="13" t="s">
        <v>268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268</v>
      </c>
      <c r="B9" s="21" t="s"/>
      <c r="C9" s="12" t="s">
        <v>13</v>
      </c>
      <c r="D9" s="12" t="s">
        <v>13</v>
      </c>
      <c r="E9" s="12" t="s">
        <v>13</v>
      </c>
      <c r="F9" s="22" t="s">
        <v>13</v>
      </c>
      <c r="G9" s="12"/>
      <c r="H9" s="12"/>
      <c r="I9" s="13"/>
      <c r="J9" s="13" t="n">
        <v>325</v>
      </c>
      <c r="K9" s="13" t="s">
        <v>269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270</v>
      </c>
      <c r="B10" s="21" t="s"/>
      <c r="C10" s="23" t="s">
        <v>271</v>
      </c>
      <c r="D10" s="12" t="s">
        <v>13</v>
      </c>
      <c r="E10" s="12" t="n">
        <v>1</v>
      </c>
      <c r="F10" s="22" t="n">
        <v>2100</v>
      </c>
      <c r="G10" s="12"/>
      <c r="H10" s="12"/>
      <c r="I10" s="13"/>
      <c r="J10" s="13" t="n">
        <v>332</v>
      </c>
      <c r="K10" s="13" t="s">
        <v>272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272</v>
      </c>
      <c r="B11" s="21" t="s"/>
      <c r="C11" s="23" t="s">
        <v>273</v>
      </c>
      <c r="D11" s="23" t="s">
        <v>274</v>
      </c>
      <c r="E11" s="12" t="n">
        <v>2</v>
      </c>
      <c r="F11" s="22" t="n">
        <v>4200</v>
      </c>
      <c r="G11" s="12"/>
      <c r="H11" s="12"/>
      <c r="I11" s="13"/>
      <c r="J11" s="13" t="n">
        <v>337</v>
      </c>
      <c r="K11" s="13" t="s">
        <v>275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275</v>
      </c>
      <c r="B12" s="21" t="s"/>
      <c r="C12" s="12" t="s">
        <v>13</v>
      </c>
      <c r="D12" s="12" t="s">
        <v>13</v>
      </c>
      <c r="E12" s="12" t="s">
        <v>13</v>
      </c>
      <c r="F12" s="22" t="s">
        <v>13</v>
      </c>
      <c r="G12" s="12"/>
      <c r="H12" s="12"/>
      <c r="I12" s="13"/>
      <c r="J12" s="13" t="n">
        <v>345</v>
      </c>
      <c r="K12" s="13" t="s">
        <v>276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276</v>
      </c>
      <c r="B13" s="21" t="s"/>
      <c r="C13" s="12" t="s">
        <v>13</v>
      </c>
      <c r="D13" s="12" t="s">
        <v>13</v>
      </c>
      <c r="E13" s="12" t="s">
        <v>13</v>
      </c>
      <c r="F13" s="22" t="s">
        <v>13</v>
      </c>
      <c r="G13" s="12"/>
      <c r="H13" s="12"/>
      <c r="I13" s="13"/>
      <c r="J13" s="13" t="n">
        <v>351</v>
      </c>
      <c r="K13" s="13" t="s">
        <v>277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277</v>
      </c>
      <c r="B14" s="21" t="s"/>
      <c r="C14" s="12" t="s">
        <v>13</v>
      </c>
      <c r="D14" s="12" t="s">
        <v>13</v>
      </c>
      <c r="E14" s="12" t="s">
        <v>13</v>
      </c>
      <c r="F14" s="22" t="s">
        <v>13</v>
      </c>
      <c r="G14" s="12"/>
      <c r="H14" s="12"/>
      <c r="I14" s="13"/>
      <c r="J14" s="13" t="n">
        <v>355</v>
      </c>
      <c r="K14" s="13" t="s">
        <v>278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279</v>
      </c>
      <c r="B15" s="21" t="s"/>
      <c r="C15" s="12" t="s">
        <v>13</v>
      </c>
      <c r="D15" s="12" t="s">
        <v>13</v>
      </c>
      <c r="E15" s="12" t="s">
        <v>13</v>
      </c>
      <c r="F15" s="22" t="s">
        <v>13</v>
      </c>
      <c r="G15" s="12"/>
      <c r="H15" s="12"/>
      <c r="I15" s="13"/>
      <c r="J15" s="13" t="n">
        <v>363</v>
      </c>
      <c r="K15" s="13" t="s">
        <v>280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280</v>
      </c>
      <c r="B16" s="21" t="s"/>
      <c r="C16" s="23" t="s">
        <v>281</v>
      </c>
      <c r="D16" s="12" t="s">
        <v>13</v>
      </c>
      <c r="E16" s="12" t="n">
        <v>1</v>
      </c>
      <c r="F16" s="22" t="n">
        <v>2100</v>
      </c>
      <c r="G16" s="12"/>
      <c r="H16" s="12"/>
      <c r="I16" s="13"/>
      <c r="J16" s="13" t="n">
        <v>371</v>
      </c>
      <c r="K16" s="13" t="s">
        <v>282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282</v>
      </c>
      <c r="B17" s="21" t="s"/>
      <c r="C17" s="23" t="s">
        <v>283</v>
      </c>
      <c r="D17" s="12" t="s">
        <v>13</v>
      </c>
      <c r="E17" s="12" t="n">
        <v>1</v>
      </c>
      <c r="F17" s="22" t="n">
        <v>4800</v>
      </c>
      <c r="G17" s="12"/>
      <c r="H17" s="12"/>
      <c r="I17" s="13"/>
      <c r="J17" s="13" t="n">
        <v>378</v>
      </c>
      <c r="K17" s="13" t="s">
        <v>284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284</v>
      </c>
      <c r="B18" s="21" t="s"/>
      <c r="C18" s="23" t="s">
        <v>285</v>
      </c>
      <c r="D18" s="12" t="s">
        <v>13</v>
      </c>
      <c r="E18" s="12" t="n">
        <v>1</v>
      </c>
      <c r="F18" s="22" t="n">
        <v>2100</v>
      </c>
      <c r="G18" s="12"/>
      <c r="H18" s="12"/>
      <c r="I18" s="13"/>
      <c r="J18" s="13" t="n">
        <v>385</v>
      </c>
      <c r="K18" s="13" t="s">
        <v>286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286</v>
      </c>
      <c r="B19" s="21" t="s"/>
      <c r="C19" s="12" t="s">
        <v>13</v>
      </c>
      <c r="D19" s="12" t="s">
        <v>13</v>
      </c>
      <c r="E19" s="12" t="s">
        <v>13</v>
      </c>
      <c r="F19" s="22" t="s">
        <v>13</v>
      </c>
      <c r="G19" s="12"/>
      <c r="H19" s="12"/>
      <c r="I19" s="13"/>
      <c r="J19" s="13" t="n">
        <v>391</v>
      </c>
      <c r="K19" s="13" t="s">
        <v>287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288</v>
      </c>
      <c r="B20" s="21" t="s"/>
      <c r="C20" s="12" t="s">
        <v>13</v>
      </c>
      <c r="D20" s="12" t="s">
        <v>13</v>
      </c>
      <c r="E20" s="12" t="s">
        <v>13</v>
      </c>
      <c r="F20" s="22" t="s">
        <v>13</v>
      </c>
      <c r="G20" s="12"/>
      <c r="H20" s="12"/>
      <c r="I20" s="13"/>
      <c r="J20" s="13" t="n">
        <v>398</v>
      </c>
      <c r="K20" s="13" t="s">
        <v>289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289</v>
      </c>
      <c r="B21" s="21" t="s"/>
      <c r="C21" s="23" t="s">
        <v>290</v>
      </c>
      <c r="D21" s="12" t="s">
        <v>13</v>
      </c>
      <c r="E21" s="12" t="n">
        <v>1</v>
      </c>
      <c r="F21" s="22" t="n">
        <v>800</v>
      </c>
      <c r="G21" s="12"/>
      <c r="H21" s="12"/>
      <c r="I21" s="13"/>
      <c r="J21" s="13" t="n">
        <v>403</v>
      </c>
      <c r="K21" s="13" t="s">
        <v>291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291</v>
      </c>
      <c r="B22" s="21" t="s"/>
      <c r="C22" s="12" t="s">
        <v>13</v>
      </c>
      <c r="D22" s="12" t="s">
        <v>13</v>
      </c>
      <c r="E22" s="12" t="s">
        <v>13</v>
      </c>
      <c r="F22" s="22" t="s">
        <v>13</v>
      </c>
      <c r="G22" s="12"/>
      <c r="H22" s="12"/>
      <c r="I22" s="13"/>
      <c r="J22" s="13" t="n">
        <v>407</v>
      </c>
      <c r="K22" s="13" t="s">
        <v>292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292</v>
      </c>
      <c r="B23" s="21" t="s"/>
      <c r="C23" s="23" t="s">
        <v>293</v>
      </c>
      <c r="D23" s="12" t="s">
        <v>13</v>
      </c>
      <c r="E23" s="12" t="n">
        <v>1</v>
      </c>
      <c r="F23" s="22" t="n">
        <v>2100</v>
      </c>
      <c r="G23" s="12"/>
      <c r="H23" s="12"/>
      <c r="I23" s="13"/>
      <c r="J23" s="13" t="n">
        <v>413</v>
      </c>
      <c r="K23" s="13" t="s">
        <v>294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294</v>
      </c>
      <c r="B24" s="21" t="s"/>
      <c r="C24" s="12" t="s">
        <v>13</v>
      </c>
      <c r="D24" s="12" t="s">
        <v>13</v>
      </c>
      <c r="E24" s="12" t="s">
        <v>13</v>
      </c>
      <c r="F24" s="22" t="s">
        <v>13</v>
      </c>
      <c r="G24" s="12"/>
      <c r="H24" s="12"/>
      <c r="I24" s="13"/>
      <c r="J24" s="13" t="n">
        <v>419</v>
      </c>
      <c r="K24" s="13" t="s">
        <v>295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296</v>
      </c>
      <c r="B25" s="21" t="s"/>
      <c r="C25" s="23" t="s">
        <v>297</v>
      </c>
      <c r="D25" s="12" t="s">
        <v>13</v>
      </c>
      <c r="E25" s="12" t="n">
        <v>1</v>
      </c>
      <c r="F25" s="22" t="n">
        <v>2100</v>
      </c>
      <c r="G25" s="12"/>
      <c r="H25" s="12"/>
      <c r="I25" s="13"/>
      <c r="J25" s="13" t="n">
        <v>428</v>
      </c>
      <c r="K25" s="13" t="s">
        <v>298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64.15" hidden="false" customHeight="false" outlineLevel="0" collapsed="false">
      <c r="A26" s="21" t="s">
        <v>298</v>
      </c>
      <c r="B26" s="21" t="s"/>
      <c r="C26" s="23" t="s">
        <v>299</v>
      </c>
      <c r="D26" s="12" t="s">
        <v>13</v>
      </c>
      <c r="E26" s="12" t="n">
        <v>1</v>
      </c>
      <c r="F26" s="22" t="n">
        <v>2100</v>
      </c>
      <c r="G26" s="20" t="n">
        <v>17</v>
      </c>
      <c r="H26" s="25" t="s">
        <v>300</v>
      </c>
      <c r="I26" s="18"/>
      <c r="J26" s="18" t="n">
        <v>433</v>
      </c>
      <c r="K26" s="13" t="s">
        <v>301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301</v>
      </c>
      <c r="B27" s="21" t="s"/>
      <c r="C27" s="23" t="s">
        <v>302</v>
      </c>
      <c r="D27" s="12" t="s">
        <v>13</v>
      </c>
      <c r="E27" s="12" t="n">
        <v>1</v>
      </c>
      <c r="F27" s="22" t="n">
        <v>2100</v>
      </c>
      <c r="G27" s="20"/>
      <c r="H27" s="20"/>
      <c r="I27" s="18"/>
      <c r="J27" s="18" t="n">
        <v>441</v>
      </c>
      <c r="K27" s="13" t="s">
        <v>303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156</v>
      </c>
      <c r="F28" s="24" t="n">
        <f aca="false">SUM(F6:F27)</f>
        <v>224600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304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303</v>
      </c>
      <c r="B6" s="21" t="s"/>
      <c r="C6" s="12" t="s">
        <v>13</v>
      </c>
      <c r="D6" s="12" t="s">
        <v>13</v>
      </c>
      <c r="E6" s="12" t="s">
        <v>13</v>
      </c>
      <c r="F6" s="22" t="s">
        <v>13</v>
      </c>
      <c r="G6" s="12"/>
      <c r="H6" s="12"/>
      <c r="I6" s="13"/>
      <c r="J6" s="13" t="n">
        <v>449</v>
      </c>
      <c r="K6" s="13" t="s">
        <v>305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305</v>
      </c>
      <c r="B7" s="21" t="s"/>
      <c r="C7" s="12" t="s">
        <v>13</v>
      </c>
      <c r="D7" s="12" t="s">
        <v>13</v>
      </c>
      <c r="E7" s="12" t="s">
        <v>13</v>
      </c>
      <c r="F7" s="22" t="s">
        <v>13</v>
      </c>
      <c r="G7" s="12"/>
      <c r="H7" s="12"/>
      <c r="I7" s="13"/>
      <c r="J7" s="13" t="n">
        <v>455</v>
      </c>
      <c r="K7" s="13" t="s">
        <v>306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307</v>
      </c>
      <c r="B8" s="21" t="s"/>
      <c r="C8" s="12" t="s">
        <v>13</v>
      </c>
      <c r="D8" s="12" t="s">
        <v>13</v>
      </c>
      <c r="E8" s="12" t="s">
        <v>13</v>
      </c>
      <c r="F8" s="22" t="s">
        <v>13</v>
      </c>
      <c r="G8" s="12"/>
      <c r="H8" s="12"/>
      <c r="I8" s="13"/>
      <c r="J8" s="13" t="n">
        <v>462</v>
      </c>
      <c r="K8" s="13" t="s">
        <v>308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308</v>
      </c>
      <c r="B9" s="21" t="s"/>
      <c r="C9" s="12" t="s">
        <v>13</v>
      </c>
      <c r="D9" s="12" t="s">
        <v>13</v>
      </c>
      <c r="E9" s="12" t="s">
        <v>13</v>
      </c>
      <c r="F9" s="22" t="s">
        <v>13</v>
      </c>
      <c r="G9" s="12"/>
      <c r="H9" s="12"/>
      <c r="I9" s="13"/>
      <c r="J9" s="13" t="n">
        <v>466</v>
      </c>
      <c r="K9" s="13" t="s">
        <v>309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309</v>
      </c>
      <c r="B10" s="21" t="s"/>
      <c r="C10" s="12" t="s">
        <v>13</v>
      </c>
      <c r="D10" s="12" t="s">
        <v>13</v>
      </c>
      <c r="E10" s="12" t="s">
        <v>13</v>
      </c>
      <c r="F10" s="22" t="s">
        <v>13</v>
      </c>
      <c r="G10" s="12"/>
      <c r="H10" s="12"/>
      <c r="I10" s="13"/>
      <c r="J10" s="13" t="n">
        <v>472</v>
      </c>
      <c r="K10" s="13" t="s">
        <v>310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310</v>
      </c>
      <c r="B11" s="21" t="s"/>
      <c r="C11" s="12" t="s">
        <v>13</v>
      </c>
      <c r="D11" s="12" t="s">
        <v>13</v>
      </c>
      <c r="E11" s="12" t="s">
        <v>13</v>
      </c>
      <c r="F11" s="22" t="s">
        <v>13</v>
      </c>
      <c r="G11" s="12"/>
      <c r="H11" s="12"/>
      <c r="I11" s="13"/>
      <c r="J11" s="13" t="n">
        <v>480</v>
      </c>
      <c r="K11" s="13" t="s">
        <v>311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312</v>
      </c>
      <c r="B12" s="21" t="s"/>
      <c r="C12" s="12" t="s">
        <v>13</v>
      </c>
      <c r="D12" s="12" t="s">
        <v>13</v>
      </c>
      <c r="E12" s="12" t="s">
        <v>13</v>
      </c>
      <c r="F12" s="22" t="s">
        <v>13</v>
      </c>
      <c r="G12" s="12"/>
      <c r="H12" s="12"/>
      <c r="I12" s="13"/>
      <c r="J12" s="13" t="n">
        <v>489</v>
      </c>
      <c r="K12" s="13" t="s">
        <v>313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313</v>
      </c>
      <c r="B13" s="21" t="s"/>
      <c r="C13" s="23" t="s">
        <v>314</v>
      </c>
      <c r="D13" s="12" t="s">
        <v>13</v>
      </c>
      <c r="E13" s="12" t="n">
        <v>1</v>
      </c>
      <c r="F13" s="22" t="n">
        <v>2100</v>
      </c>
      <c r="G13" s="12"/>
      <c r="H13" s="12"/>
      <c r="I13" s="13"/>
      <c r="J13" s="13" t="n">
        <v>495</v>
      </c>
      <c r="K13" s="13" t="s">
        <v>315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316</v>
      </c>
      <c r="B14" s="21" t="s"/>
      <c r="C14" s="12" t="s">
        <v>13</v>
      </c>
      <c r="D14" s="12" t="s">
        <v>13</v>
      </c>
      <c r="E14" s="12" t="s">
        <v>13</v>
      </c>
      <c r="F14" s="22" t="s">
        <v>13</v>
      </c>
      <c r="G14" s="12"/>
      <c r="H14" s="12"/>
      <c r="I14" s="13"/>
      <c r="J14" s="13" t="n">
        <v>501</v>
      </c>
      <c r="K14" s="13" t="s">
        <v>317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317</v>
      </c>
      <c r="B15" s="21" t="s"/>
      <c r="C15" s="12" t="s">
        <v>13</v>
      </c>
      <c r="D15" s="12" t="s">
        <v>13</v>
      </c>
      <c r="E15" s="12" t="s">
        <v>13</v>
      </c>
      <c r="F15" s="22" t="s">
        <v>13</v>
      </c>
      <c r="G15" s="12"/>
      <c r="H15" s="12"/>
      <c r="I15" s="13"/>
      <c r="J15" s="13" t="n">
        <v>509</v>
      </c>
      <c r="K15" s="13" t="s">
        <v>318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318</v>
      </c>
      <c r="B16" s="21" t="s"/>
      <c r="C16" s="12" t="s">
        <v>13</v>
      </c>
      <c r="D16" s="12" t="s">
        <v>13</v>
      </c>
      <c r="E16" s="12" t="s">
        <v>13</v>
      </c>
      <c r="F16" s="22" t="s">
        <v>13</v>
      </c>
      <c r="G16" s="12"/>
      <c r="H16" s="12"/>
      <c r="I16" s="13"/>
      <c r="J16" s="13" t="n">
        <v>515</v>
      </c>
      <c r="K16" s="13" t="s">
        <v>319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319</v>
      </c>
      <c r="B17" s="21" t="s"/>
      <c r="C17" s="12" t="s">
        <v>13</v>
      </c>
      <c r="D17" s="12" t="s">
        <v>13</v>
      </c>
      <c r="E17" s="12" t="s">
        <v>13</v>
      </c>
      <c r="F17" s="22" t="s">
        <v>13</v>
      </c>
      <c r="G17" s="12"/>
      <c r="H17" s="12"/>
      <c r="I17" s="13"/>
      <c r="J17" s="13" t="n">
        <v>522</v>
      </c>
      <c r="K17" s="13" t="s">
        <v>320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320</v>
      </c>
      <c r="B18" s="21" t="s"/>
      <c r="C18" s="23" t="s">
        <v>321</v>
      </c>
      <c r="D18" s="12" t="s">
        <v>13</v>
      </c>
      <c r="E18" s="12" t="n">
        <v>1</v>
      </c>
      <c r="F18" s="22" t="n">
        <v>2100</v>
      </c>
      <c r="G18" s="12"/>
      <c r="H18" s="12"/>
      <c r="I18" s="13"/>
      <c r="J18" s="13" t="n">
        <v>528</v>
      </c>
      <c r="K18" s="13" t="s">
        <v>322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323</v>
      </c>
      <c r="B19" s="21" t="s"/>
      <c r="C19" s="23" t="s">
        <v>324</v>
      </c>
      <c r="D19" s="23" t="s">
        <v>325</v>
      </c>
      <c r="E19" s="12" t="n">
        <v>2</v>
      </c>
      <c r="F19" s="22" t="n">
        <v>4200</v>
      </c>
      <c r="G19" s="12"/>
      <c r="H19" s="12"/>
      <c r="I19" s="13"/>
      <c r="J19" s="13" t="n">
        <v>534</v>
      </c>
      <c r="K19" s="13" t="s">
        <v>326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326</v>
      </c>
      <c r="B20" s="21" t="s"/>
      <c r="C20" s="12" t="s">
        <v>13</v>
      </c>
      <c r="D20" s="12" t="s">
        <v>13</v>
      </c>
      <c r="E20" s="12" t="s">
        <v>13</v>
      </c>
      <c r="F20" s="22" t="s">
        <v>13</v>
      </c>
      <c r="G20" s="12"/>
      <c r="H20" s="12"/>
      <c r="I20" s="13"/>
      <c r="J20" s="13" t="n">
        <v>540</v>
      </c>
      <c r="K20" s="13" t="s">
        <v>327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19.7" hidden="true" customHeight="false" outlineLevel="0" collapsed="false">
      <c r="A21" s="21"/>
      <c r="B21" s="21"/>
      <c r="C21" s="12"/>
      <c r="D21" s="12"/>
      <c r="E21" s="12"/>
      <c r="F21" s="22"/>
      <c r="G21" s="12"/>
      <c r="H21" s="12"/>
      <c r="I21" s="13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9.7" hidden="true" customHeight="false" outlineLevel="0" collapsed="false">
      <c r="A22" s="21"/>
      <c r="B22" s="21"/>
      <c r="C22" s="12"/>
      <c r="D22" s="12"/>
      <c r="E22" s="12"/>
      <c r="F22" s="22"/>
      <c r="G22" s="12"/>
      <c r="H22" s="12"/>
      <c r="I22" s="13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19.7" hidden="true" customHeight="false" outlineLevel="0" collapsed="false">
      <c r="A23" s="21"/>
      <c r="B23" s="21"/>
      <c r="C23" s="12"/>
      <c r="D23" s="12"/>
      <c r="E23" s="12"/>
      <c r="F23" s="22"/>
      <c r="G23" s="12"/>
      <c r="H23" s="12"/>
      <c r="I23" s="13"/>
      <c r="J23" s="13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9.7" hidden="true" customHeight="false" outlineLevel="0" collapsed="false">
      <c r="A24" s="21"/>
      <c r="B24" s="21"/>
      <c r="C24" s="12"/>
      <c r="D24" s="12"/>
      <c r="E24" s="12"/>
      <c r="F24" s="22"/>
      <c r="G24" s="12"/>
      <c r="H24" s="12"/>
      <c r="I24" s="13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327</v>
      </c>
      <c r="B25" s="21" t="s"/>
      <c r="C25" s="23" t="s">
        <v>328</v>
      </c>
      <c r="D25" s="12" t="s">
        <v>13</v>
      </c>
      <c r="E25" s="12" t="n">
        <v>1</v>
      </c>
      <c r="F25" s="22" t="n">
        <v>100</v>
      </c>
      <c r="G25" s="12"/>
      <c r="H25" s="12"/>
      <c r="I25" s="13"/>
      <c r="J25" s="13" t="n">
        <v>547</v>
      </c>
      <c r="K25" s="13" t="s">
        <v>329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329</v>
      </c>
      <c r="B26" s="21" t="s"/>
      <c r="C26" s="12" t="s">
        <v>13</v>
      </c>
      <c r="D26" s="12" t="s">
        <v>13</v>
      </c>
      <c r="E26" s="12" t="s">
        <v>13</v>
      </c>
      <c r="F26" s="22" t="s">
        <v>13</v>
      </c>
      <c r="G26" s="12"/>
      <c r="H26" s="12"/>
      <c r="I26" s="13"/>
      <c r="J26" s="13" t="n">
        <v>552</v>
      </c>
      <c r="K26" s="13" t="s">
        <v>330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330</v>
      </c>
      <c r="B27" s="21" t="s"/>
      <c r="C27" s="12" t="s">
        <v>13</v>
      </c>
      <c r="D27" s="12" t="s">
        <v>13</v>
      </c>
      <c r="E27" s="12" t="s">
        <v>13</v>
      </c>
      <c r="F27" s="22" t="s">
        <v>13</v>
      </c>
      <c r="G27" s="12"/>
      <c r="H27" s="12"/>
      <c r="I27" s="13"/>
      <c r="J27" s="13" t="n">
        <v>558</v>
      </c>
      <c r="K27" s="13" t="s">
        <v>331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5</v>
      </c>
      <c r="F28" s="24" t="n">
        <f aca="false">SUM(F6:F27)</f>
        <v>8500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332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333</v>
      </c>
      <c r="B6" s="21" t="s"/>
      <c r="C6" s="12" t="s">
        <v>13</v>
      </c>
      <c r="D6" s="12" t="s">
        <v>13</v>
      </c>
      <c r="E6" s="12" t="s">
        <v>13</v>
      </c>
      <c r="F6" s="22" t="s">
        <v>13</v>
      </c>
      <c r="G6" s="12"/>
      <c r="H6" s="12"/>
      <c r="I6" s="13"/>
      <c r="J6" s="13" t="n">
        <v>565</v>
      </c>
      <c r="K6" s="13" t="s">
        <v>334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334</v>
      </c>
      <c r="B7" s="21" t="s"/>
      <c r="C7" s="23" t="s">
        <v>335</v>
      </c>
      <c r="D7" s="23" t="s">
        <v>335</v>
      </c>
      <c r="E7" s="12" t="n">
        <v>1</v>
      </c>
      <c r="F7" s="22" t="n">
        <v>2100</v>
      </c>
      <c r="G7" s="12"/>
      <c r="H7" s="12"/>
      <c r="I7" s="13"/>
      <c r="J7" s="13" t="n">
        <v>575</v>
      </c>
      <c r="K7" s="13" t="s">
        <v>336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336</v>
      </c>
      <c r="B8" s="21" t="s"/>
      <c r="C8" s="12" t="s">
        <v>13</v>
      </c>
      <c r="D8" s="12" t="s">
        <v>13</v>
      </c>
      <c r="E8" s="12" t="s">
        <v>13</v>
      </c>
      <c r="F8" s="22" t="s">
        <v>13</v>
      </c>
      <c r="G8" s="12"/>
      <c r="H8" s="12"/>
      <c r="I8" s="13"/>
      <c r="J8" s="13" t="n">
        <v>582</v>
      </c>
      <c r="K8" s="13" t="s">
        <v>337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337</v>
      </c>
      <c r="B9" s="21" t="s"/>
      <c r="C9" s="12" t="s">
        <v>13</v>
      </c>
      <c r="D9" s="12" t="s">
        <v>13</v>
      </c>
      <c r="E9" s="12" t="s">
        <v>13</v>
      </c>
      <c r="F9" s="22" t="s">
        <v>13</v>
      </c>
      <c r="G9" s="12"/>
      <c r="H9" s="12"/>
      <c r="I9" s="13"/>
      <c r="J9" s="13" t="n">
        <v>587</v>
      </c>
      <c r="K9" s="13" t="s">
        <v>338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339</v>
      </c>
      <c r="B10" s="21" t="s"/>
      <c r="C10" s="23" t="s">
        <v>340</v>
      </c>
      <c r="D10" s="23" t="s">
        <v>340</v>
      </c>
      <c r="E10" s="12" t="n">
        <v>1</v>
      </c>
      <c r="F10" s="22" t="n">
        <v>2100</v>
      </c>
      <c r="G10" s="12"/>
      <c r="H10" s="12"/>
      <c r="I10" s="13"/>
      <c r="J10" s="13" t="n">
        <v>596</v>
      </c>
      <c r="K10" s="13" t="s">
        <v>341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341</v>
      </c>
      <c r="B11" s="21" t="s"/>
      <c r="C11" s="12" t="s">
        <v>13</v>
      </c>
      <c r="D11" s="12" t="s">
        <v>13</v>
      </c>
      <c r="E11" s="12" t="s">
        <v>13</v>
      </c>
      <c r="F11" s="22" t="s">
        <v>13</v>
      </c>
      <c r="G11" s="12"/>
      <c r="H11" s="12"/>
      <c r="I11" s="13"/>
      <c r="J11" s="13" t="n">
        <v>601</v>
      </c>
      <c r="K11" s="13" t="s">
        <v>342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343</v>
      </c>
      <c r="B12" s="21" t="s"/>
      <c r="C12" s="12" t="s">
        <v>13</v>
      </c>
      <c r="D12" s="12" t="s">
        <v>13</v>
      </c>
      <c r="E12" s="12" t="s">
        <v>13</v>
      </c>
      <c r="F12" s="22" t="s">
        <v>13</v>
      </c>
      <c r="G12" s="12"/>
      <c r="H12" s="12"/>
      <c r="I12" s="13"/>
      <c r="J12" s="13" t="n">
        <v>609</v>
      </c>
      <c r="K12" s="13" t="s">
        <v>344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344</v>
      </c>
      <c r="B13" s="21" t="s"/>
      <c r="C13" s="23" t="s">
        <v>345</v>
      </c>
      <c r="D13" s="23" t="s">
        <v>345</v>
      </c>
      <c r="E13" s="12" t="n">
        <v>1</v>
      </c>
      <c r="F13" s="22" t="n">
        <v>3000</v>
      </c>
      <c r="G13" s="12"/>
      <c r="H13" s="12"/>
      <c r="I13" s="13"/>
      <c r="J13" s="13" t="n">
        <v>614</v>
      </c>
      <c r="K13" s="13" t="s">
        <v>346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347</v>
      </c>
      <c r="B14" s="21" t="s"/>
      <c r="C14" s="12" t="s">
        <v>13</v>
      </c>
      <c r="D14" s="12" t="s">
        <v>13</v>
      </c>
      <c r="E14" s="12" t="s">
        <v>13</v>
      </c>
      <c r="F14" s="22" t="s">
        <v>13</v>
      </c>
      <c r="G14" s="12"/>
      <c r="H14" s="12"/>
      <c r="I14" s="13"/>
      <c r="J14" s="13" t="n">
        <v>621</v>
      </c>
      <c r="K14" s="13" t="s">
        <v>348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348</v>
      </c>
      <c r="B15" s="21" t="s"/>
      <c r="C15" s="12" t="s">
        <v>13</v>
      </c>
      <c r="D15" s="12" t="s">
        <v>13</v>
      </c>
      <c r="E15" s="12" t="s">
        <v>13</v>
      </c>
      <c r="F15" s="22" t="s">
        <v>13</v>
      </c>
      <c r="G15" s="12"/>
      <c r="H15" s="12"/>
      <c r="I15" s="13"/>
      <c r="J15" s="13" t="n">
        <v>627</v>
      </c>
      <c r="K15" s="13" t="s">
        <v>349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349</v>
      </c>
      <c r="B16" s="21" t="s"/>
      <c r="C16" s="12" t="s">
        <v>13</v>
      </c>
      <c r="D16" s="12" t="s">
        <v>13</v>
      </c>
      <c r="E16" s="12" t="s">
        <v>13</v>
      </c>
      <c r="F16" s="22" t="s">
        <v>13</v>
      </c>
      <c r="G16" s="12"/>
      <c r="H16" s="12"/>
      <c r="I16" s="13"/>
      <c r="J16" s="13" t="n">
        <v>632</v>
      </c>
      <c r="K16" s="13" t="s">
        <v>350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350</v>
      </c>
      <c r="B17" s="21" t="s"/>
      <c r="C17" s="12" t="s">
        <v>13</v>
      </c>
      <c r="D17" s="12" t="s">
        <v>13</v>
      </c>
      <c r="E17" s="12" t="s">
        <v>13</v>
      </c>
      <c r="F17" s="22" t="s">
        <v>13</v>
      </c>
      <c r="G17" s="12"/>
      <c r="H17" s="12"/>
      <c r="I17" s="13"/>
      <c r="J17" s="13" t="n">
        <v>639</v>
      </c>
      <c r="K17" s="13" t="s">
        <v>351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351</v>
      </c>
      <c r="B18" s="21" t="s"/>
      <c r="C18" s="12" t="s">
        <v>13</v>
      </c>
      <c r="D18" s="12" t="s">
        <v>13</v>
      </c>
      <c r="E18" s="12" t="s">
        <v>13</v>
      </c>
      <c r="F18" s="22" t="s">
        <v>13</v>
      </c>
      <c r="G18" s="12"/>
      <c r="H18" s="12"/>
      <c r="I18" s="13"/>
      <c r="J18" s="13" t="n">
        <v>645</v>
      </c>
      <c r="K18" s="13" t="s">
        <v>352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19.7" hidden="true" customHeight="false" outlineLevel="0" collapsed="false">
      <c r="A19" s="21"/>
      <c r="B19" s="21"/>
      <c r="C19" s="12"/>
      <c r="D19" s="12"/>
      <c r="E19" s="12"/>
      <c r="F19" s="22"/>
      <c r="G19" s="12"/>
      <c r="H19" s="12"/>
      <c r="I19" s="13"/>
      <c r="J19" s="13"/>
      <c r="K19" s="1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19.7" hidden="true" customHeight="false" outlineLevel="0" collapsed="false">
      <c r="A20" s="21"/>
      <c r="B20" s="21"/>
      <c r="C20" s="12"/>
      <c r="D20" s="12"/>
      <c r="E20" s="12"/>
      <c r="F20" s="22"/>
      <c r="G20" s="12"/>
      <c r="H20" s="12"/>
      <c r="I20" s="13"/>
      <c r="J20" s="13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19.7" hidden="true" customHeight="false" outlineLevel="0" collapsed="false">
      <c r="A21" s="21"/>
      <c r="B21" s="21"/>
      <c r="C21" s="12"/>
      <c r="D21" s="12"/>
      <c r="E21" s="12"/>
      <c r="F21" s="22"/>
      <c r="G21" s="12"/>
      <c r="H21" s="12"/>
      <c r="I21" s="13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9.7" hidden="true" customHeight="false" outlineLevel="0" collapsed="false">
      <c r="A22" s="21"/>
      <c r="B22" s="21"/>
      <c r="C22" s="12"/>
      <c r="D22" s="12"/>
      <c r="E22" s="12"/>
      <c r="F22" s="22"/>
      <c r="G22" s="12"/>
      <c r="H22" s="12"/>
      <c r="I22" s="13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353</v>
      </c>
      <c r="B23" s="21" t="s"/>
      <c r="C23" s="12" t="s">
        <v>13</v>
      </c>
      <c r="D23" s="12" t="s">
        <v>13</v>
      </c>
      <c r="E23" s="12" t="s">
        <v>13</v>
      </c>
      <c r="F23" s="22" t="s">
        <v>13</v>
      </c>
      <c r="G23" s="12"/>
      <c r="H23" s="12"/>
      <c r="I23" s="13"/>
      <c r="J23" s="13" t="n">
        <v>650</v>
      </c>
      <c r="K23" s="13" t="s">
        <v>354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354</v>
      </c>
      <c r="B24" s="21" t="s"/>
      <c r="C24" s="12" t="s">
        <v>13</v>
      </c>
      <c r="D24" s="12" t="s">
        <v>13</v>
      </c>
      <c r="E24" s="12" t="s">
        <v>13</v>
      </c>
      <c r="F24" s="22" t="s">
        <v>13</v>
      </c>
      <c r="G24" s="12"/>
      <c r="H24" s="12"/>
      <c r="I24" s="13"/>
      <c r="J24" s="13" t="n">
        <v>656</v>
      </c>
      <c r="K24" s="13" t="s">
        <v>355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355</v>
      </c>
      <c r="B25" s="21" t="s"/>
      <c r="C25" s="12" t="s">
        <v>13</v>
      </c>
      <c r="D25" s="12" t="s">
        <v>13</v>
      </c>
      <c r="E25" s="12" t="s">
        <v>13</v>
      </c>
      <c r="F25" s="22" t="s">
        <v>13</v>
      </c>
      <c r="G25" s="12"/>
      <c r="H25" s="12"/>
      <c r="I25" s="13"/>
      <c r="J25" s="13" t="n">
        <v>661</v>
      </c>
      <c r="K25" s="13" t="s">
        <v>356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356</v>
      </c>
      <c r="B26" s="21" t="s"/>
      <c r="C26" s="23" t="s">
        <v>357</v>
      </c>
      <c r="D26" s="23" t="s">
        <v>357</v>
      </c>
      <c r="E26" s="12" t="n">
        <v>1</v>
      </c>
      <c r="F26" s="22" t="n">
        <v>2100</v>
      </c>
      <c r="G26" s="12"/>
      <c r="H26" s="12"/>
      <c r="I26" s="13"/>
      <c r="J26" s="13" t="n">
        <v>669</v>
      </c>
      <c r="K26" s="13" t="s">
        <v>358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8.5" hidden="false" customHeight="true" outlineLevel="0" collapsed="false">
      <c r="A27" s="21" t="s">
        <v>358</v>
      </c>
      <c r="B27" s="21" t="s"/>
      <c r="C27" s="12" t="s">
        <v>13</v>
      </c>
      <c r="D27" s="12" t="s">
        <v>13</v>
      </c>
      <c r="E27" s="12" t="s">
        <v>13</v>
      </c>
      <c r="F27" s="22" t="s">
        <v>13</v>
      </c>
      <c r="G27" s="12"/>
      <c r="H27" s="12"/>
      <c r="I27" s="13"/>
      <c r="J27" s="13" t="n">
        <v>673</v>
      </c>
      <c r="K27" s="13" t="s">
        <v>359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4</v>
      </c>
      <c r="F28" s="24" t="n">
        <f aca="false">SUM(F6:F27)</f>
        <v>9300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360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361</v>
      </c>
      <c r="B6" s="21" t="s"/>
      <c r="C6" s="12" t="s">
        <v>13</v>
      </c>
      <c r="D6" s="12" t="s">
        <v>13</v>
      </c>
      <c r="E6" s="12" t="s">
        <v>13</v>
      </c>
      <c r="F6" s="22" t="s">
        <v>13</v>
      </c>
      <c r="G6" s="12"/>
      <c r="H6" s="12"/>
      <c r="I6" s="13"/>
      <c r="J6" s="13" t="n">
        <v>680</v>
      </c>
      <c r="K6" s="13" t="s">
        <v>362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363</v>
      </c>
      <c r="B7" s="21" t="s"/>
      <c r="C7" s="12" t="s">
        <v>13</v>
      </c>
      <c r="D7" s="12" t="s">
        <v>13</v>
      </c>
      <c r="E7" s="12" t="s">
        <v>13</v>
      </c>
      <c r="F7" s="22" t="s">
        <v>13</v>
      </c>
      <c r="G7" s="12"/>
      <c r="H7" s="12"/>
      <c r="I7" s="13"/>
      <c r="J7" s="13" t="n">
        <v>687</v>
      </c>
      <c r="K7" s="13" t="s">
        <v>364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364</v>
      </c>
      <c r="B8" s="21" t="s"/>
      <c r="C8" s="23" t="s">
        <v>365</v>
      </c>
      <c r="D8" s="23" t="s">
        <v>365</v>
      </c>
      <c r="E8" s="12" t="n">
        <v>1</v>
      </c>
      <c r="F8" s="22" t="n">
        <v>2100</v>
      </c>
      <c r="G8" s="12"/>
      <c r="H8" s="12"/>
      <c r="I8" s="13"/>
      <c r="J8" s="13" t="n">
        <v>693</v>
      </c>
      <c r="K8" s="13" t="s">
        <v>366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367</v>
      </c>
      <c r="B9" s="21" t="s"/>
      <c r="C9" s="12" t="s">
        <v>13</v>
      </c>
      <c r="D9" s="12" t="s">
        <v>13</v>
      </c>
      <c r="E9" s="12" t="s">
        <v>13</v>
      </c>
      <c r="F9" s="22" t="s">
        <v>13</v>
      </c>
      <c r="G9" s="12"/>
      <c r="H9" s="12"/>
      <c r="I9" s="13"/>
      <c r="J9" s="13" t="n">
        <v>700</v>
      </c>
      <c r="K9" s="13" t="s">
        <v>368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368</v>
      </c>
      <c r="B10" s="21" t="s"/>
      <c r="C10" s="12" t="s">
        <v>13</v>
      </c>
      <c r="D10" s="12" t="s">
        <v>13</v>
      </c>
      <c r="E10" s="12" t="s">
        <v>13</v>
      </c>
      <c r="F10" s="22" t="s">
        <v>13</v>
      </c>
      <c r="G10" s="12"/>
      <c r="H10" s="12"/>
      <c r="I10" s="13"/>
      <c r="J10" s="13" t="n">
        <v>706</v>
      </c>
      <c r="K10" s="13" t="s">
        <v>369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369</v>
      </c>
      <c r="B11" s="21" t="s"/>
      <c r="C11" s="12" t="s">
        <v>13</v>
      </c>
      <c r="D11" s="12" t="s">
        <v>13</v>
      </c>
      <c r="E11" s="12" t="s">
        <v>13</v>
      </c>
      <c r="F11" s="22" t="s">
        <v>13</v>
      </c>
      <c r="G11" s="12"/>
      <c r="H11" s="12"/>
      <c r="I11" s="13"/>
      <c r="J11" s="13" t="n">
        <v>712</v>
      </c>
      <c r="K11" s="13" t="s">
        <v>370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370</v>
      </c>
      <c r="B12" s="21" t="s"/>
      <c r="C12" s="12" t="s">
        <v>13</v>
      </c>
      <c r="D12" s="12" t="s">
        <v>13</v>
      </c>
      <c r="E12" s="12" t="s">
        <v>13</v>
      </c>
      <c r="F12" s="22" t="s">
        <v>13</v>
      </c>
      <c r="G12" s="12"/>
      <c r="H12" s="12"/>
      <c r="I12" s="13"/>
      <c r="J12" s="13" t="n">
        <v>718</v>
      </c>
      <c r="K12" s="13" t="s">
        <v>371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371</v>
      </c>
      <c r="B13" s="21" t="s"/>
      <c r="C13" s="23" t="s">
        <v>372</v>
      </c>
      <c r="D13" s="23" t="s">
        <v>372</v>
      </c>
      <c r="E13" s="12" t="n">
        <v>1</v>
      </c>
      <c r="F13" s="22" t="n">
        <v>2100</v>
      </c>
      <c r="G13" s="12"/>
      <c r="H13" s="12"/>
      <c r="I13" s="13"/>
      <c r="J13" s="13" t="n">
        <v>724</v>
      </c>
      <c r="K13" s="13" t="s">
        <v>373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374</v>
      </c>
      <c r="B14" s="21" t="s"/>
      <c r="C14" s="12" t="s">
        <v>13</v>
      </c>
      <c r="D14" s="12" t="s">
        <v>13</v>
      </c>
      <c r="E14" s="12" t="s">
        <v>13</v>
      </c>
      <c r="F14" s="22" t="s">
        <v>13</v>
      </c>
      <c r="G14" s="12"/>
      <c r="H14" s="12"/>
      <c r="I14" s="13"/>
      <c r="J14" s="13" t="n">
        <v>730</v>
      </c>
      <c r="K14" s="13" t="s">
        <v>375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375</v>
      </c>
      <c r="B15" s="21" t="s"/>
      <c r="C15" s="12" t="s">
        <v>13</v>
      </c>
      <c r="D15" s="12" t="s">
        <v>13</v>
      </c>
      <c r="E15" s="12" t="s">
        <v>13</v>
      </c>
      <c r="F15" s="22" t="s">
        <v>13</v>
      </c>
      <c r="G15" s="12"/>
      <c r="H15" s="12"/>
      <c r="I15" s="13"/>
      <c r="J15" s="13" t="n">
        <v>737</v>
      </c>
      <c r="K15" s="13" t="s">
        <v>376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376</v>
      </c>
      <c r="B16" s="21" t="s"/>
      <c r="C16" s="12" t="s">
        <v>13</v>
      </c>
      <c r="D16" s="12" t="s">
        <v>13</v>
      </c>
      <c r="E16" s="12" t="s">
        <v>13</v>
      </c>
      <c r="F16" s="22" t="s">
        <v>13</v>
      </c>
      <c r="G16" s="12"/>
      <c r="H16" s="12"/>
      <c r="I16" s="13"/>
      <c r="J16" s="13" t="n">
        <v>741</v>
      </c>
      <c r="K16" s="13" t="s">
        <v>377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377</v>
      </c>
      <c r="B17" s="21" t="s"/>
      <c r="C17" s="12" t="s">
        <v>13</v>
      </c>
      <c r="D17" s="12" t="s">
        <v>13</v>
      </c>
      <c r="E17" s="12" t="s">
        <v>13</v>
      </c>
      <c r="F17" s="22" t="s">
        <v>13</v>
      </c>
      <c r="G17" s="12"/>
      <c r="H17" s="12"/>
      <c r="I17" s="13"/>
      <c r="J17" s="13" t="n">
        <v>746</v>
      </c>
      <c r="K17" s="13" t="s">
        <v>378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378</v>
      </c>
      <c r="B18" s="21" t="s"/>
      <c r="C18" s="12" t="s">
        <v>13</v>
      </c>
      <c r="D18" s="12" t="s">
        <v>13</v>
      </c>
      <c r="E18" s="12" t="s">
        <v>13</v>
      </c>
      <c r="F18" s="22" t="s">
        <v>13</v>
      </c>
      <c r="G18" s="12"/>
      <c r="H18" s="12"/>
      <c r="I18" s="13"/>
      <c r="J18" s="13" t="n">
        <v>754</v>
      </c>
      <c r="K18" s="13" t="s">
        <v>379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380</v>
      </c>
      <c r="B19" s="21" t="s"/>
      <c r="C19" s="12" t="s">
        <v>13</v>
      </c>
      <c r="D19" s="12" t="s">
        <v>13</v>
      </c>
      <c r="E19" s="12" t="s">
        <v>13</v>
      </c>
      <c r="F19" s="22" t="s">
        <v>13</v>
      </c>
      <c r="G19" s="12"/>
      <c r="H19" s="12"/>
      <c r="I19" s="13"/>
      <c r="J19" s="13" t="n">
        <v>763</v>
      </c>
      <c r="K19" s="13" t="s">
        <v>381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381</v>
      </c>
      <c r="B20" s="21" t="s"/>
      <c r="C20" s="12" t="s">
        <v>13</v>
      </c>
      <c r="D20" s="12" t="s">
        <v>13</v>
      </c>
      <c r="E20" s="12" t="s">
        <v>13</v>
      </c>
      <c r="F20" s="22" t="s">
        <v>13</v>
      </c>
      <c r="G20" s="12"/>
      <c r="H20" s="12"/>
      <c r="I20" s="13"/>
      <c r="J20" s="13" t="n">
        <v>772</v>
      </c>
      <c r="K20" s="13" t="s">
        <v>382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382</v>
      </c>
      <c r="B21" s="21" t="s"/>
      <c r="C21" s="23" t="s">
        <v>383</v>
      </c>
      <c r="D21" s="12" t="s">
        <v>13</v>
      </c>
      <c r="E21" s="12" t="n">
        <v>1</v>
      </c>
      <c r="F21" s="22" t="n">
        <v>2100</v>
      </c>
      <c r="G21" s="12"/>
      <c r="H21" s="12"/>
      <c r="I21" s="13"/>
      <c r="J21" s="13" t="n">
        <v>780</v>
      </c>
      <c r="K21" s="13" t="s">
        <v>384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9.7" hidden="true" customHeight="false" outlineLevel="0" collapsed="false">
      <c r="A22" s="21"/>
      <c r="B22" s="21"/>
      <c r="C22" s="12"/>
      <c r="D22" s="12"/>
      <c r="E22" s="12"/>
      <c r="F22" s="22"/>
      <c r="G22" s="12"/>
      <c r="H22" s="12"/>
      <c r="I22" s="13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384</v>
      </c>
      <c r="B23" s="21" t="s"/>
      <c r="C23" s="12" t="s">
        <v>13</v>
      </c>
      <c r="D23" s="12" t="s">
        <v>13</v>
      </c>
      <c r="E23" s="12" t="s">
        <v>13</v>
      </c>
      <c r="F23" s="22" t="s">
        <v>13</v>
      </c>
      <c r="G23" s="12"/>
      <c r="H23" s="12"/>
      <c r="I23" s="13"/>
      <c r="J23" s="13" t="n">
        <v>787</v>
      </c>
      <c r="K23" s="13" t="s">
        <v>385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385</v>
      </c>
      <c r="B24" s="21" t="s"/>
      <c r="C24" s="12" t="s">
        <v>13</v>
      </c>
      <c r="D24" s="12" t="s">
        <v>13</v>
      </c>
      <c r="E24" s="12" t="s">
        <v>13</v>
      </c>
      <c r="F24" s="22" t="s">
        <v>13</v>
      </c>
      <c r="G24" s="12"/>
      <c r="H24" s="12"/>
      <c r="I24" s="13"/>
      <c r="J24" s="13" t="n">
        <v>793</v>
      </c>
      <c r="K24" s="13" t="s">
        <v>386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387</v>
      </c>
      <c r="B25" s="21" t="s"/>
      <c r="C25" s="12" t="s">
        <v>13</v>
      </c>
      <c r="D25" s="12" t="s">
        <v>13</v>
      </c>
      <c r="E25" s="12" t="s">
        <v>13</v>
      </c>
      <c r="F25" s="22" t="s">
        <v>13</v>
      </c>
      <c r="G25" s="12"/>
      <c r="H25" s="12"/>
      <c r="I25" s="13"/>
      <c r="J25" s="13" t="n">
        <v>801</v>
      </c>
      <c r="K25" s="13" t="s">
        <v>388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388</v>
      </c>
      <c r="B26" s="21" t="s"/>
      <c r="C26" s="12" t="s">
        <v>13</v>
      </c>
      <c r="D26" s="12" t="s">
        <v>13</v>
      </c>
      <c r="E26" s="12" t="s">
        <v>13</v>
      </c>
      <c r="F26" s="22" t="s">
        <v>13</v>
      </c>
      <c r="G26" s="12"/>
      <c r="H26" s="12"/>
      <c r="I26" s="13"/>
      <c r="J26" s="13" t="n">
        <v>810</v>
      </c>
      <c r="K26" s="13" t="s">
        <v>389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389</v>
      </c>
      <c r="B27" s="21" t="s"/>
      <c r="C27" s="23" t="s">
        <v>390</v>
      </c>
      <c r="D27" s="12" t="s">
        <v>13</v>
      </c>
      <c r="E27" s="12" t="n">
        <v>1</v>
      </c>
      <c r="F27" s="22" t="n">
        <v>2100</v>
      </c>
      <c r="G27" s="12"/>
      <c r="H27" s="12"/>
      <c r="I27" s="13"/>
      <c r="J27" s="13" t="n">
        <v>815</v>
      </c>
      <c r="K27" s="13" t="s">
        <v>391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4</v>
      </c>
      <c r="F28" s="24" t="n">
        <f aca="false">SUM(F6:F27)</f>
        <v>8400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392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391</v>
      </c>
      <c r="B6" s="21" t="s"/>
      <c r="C6" s="12" t="s">
        <v>13</v>
      </c>
      <c r="D6" s="12" t="s">
        <v>13</v>
      </c>
      <c r="E6" s="12" t="s">
        <v>13</v>
      </c>
      <c r="F6" s="22" t="s">
        <v>13</v>
      </c>
      <c r="G6" s="12"/>
      <c r="H6" s="12"/>
      <c r="I6" s="13"/>
      <c r="J6" s="13" t="n">
        <v>823</v>
      </c>
      <c r="K6" s="13" t="s">
        <v>393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393</v>
      </c>
      <c r="B7" s="21" t="s"/>
      <c r="C7" s="12" t="s">
        <v>13</v>
      </c>
      <c r="D7" s="12" t="s">
        <v>13</v>
      </c>
      <c r="E7" s="12" t="s">
        <v>13</v>
      </c>
      <c r="F7" s="12" t="s">
        <v>13</v>
      </c>
      <c r="G7" s="12"/>
      <c r="H7" s="12"/>
      <c r="I7" s="13"/>
      <c r="J7" s="13" t="n">
        <v>829</v>
      </c>
      <c r="K7" s="13" t="s">
        <v>394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395</v>
      </c>
      <c r="B8" s="21" t="s"/>
      <c r="C8" s="12" t="s">
        <v>13</v>
      </c>
      <c r="D8" s="12" t="s">
        <v>13</v>
      </c>
      <c r="E8" s="12" t="s">
        <v>13</v>
      </c>
      <c r="F8" s="12" t="s">
        <v>13</v>
      </c>
      <c r="G8" s="12"/>
      <c r="H8" s="12"/>
      <c r="I8" s="13"/>
      <c r="J8" s="13" t="n">
        <v>833</v>
      </c>
      <c r="K8" s="13" t="s">
        <v>396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397</v>
      </c>
      <c r="B9" s="21" t="s"/>
      <c r="C9" s="12" t="s">
        <v>13</v>
      </c>
      <c r="D9" s="12" t="s">
        <v>13</v>
      </c>
      <c r="E9" s="12" t="s">
        <v>13</v>
      </c>
      <c r="F9" s="12" t="s">
        <v>13</v>
      </c>
      <c r="G9" s="12"/>
      <c r="H9" s="12"/>
      <c r="I9" s="13"/>
      <c r="J9" s="13" t="n">
        <v>841</v>
      </c>
      <c r="K9" s="13" t="s">
        <v>398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398</v>
      </c>
      <c r="B10" s="21" t="s"/>
      <c r="C10" s="12" t="s">
        <v>13</v>
      </c>
      <c r="D10" s="12" t="s">
        <v>13</v>
      </c>
      <c r="E10" s="12" t="s">
        <v>13</v>
      </c>
      <c r="F10" s="12" t="s">
        <v>13</v>
      </c>
      <c r="G10" s="12"/>
      <c r="H10" s="12"/>
      <c r="I10" s="13"/>
      <c r="J10" s="13" t="n">
        <v>847</v>
      </c>
      <c r="K10" s="13" t="s">
        <v>399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399</v>
      </c>
      <c r="B11" s="21" t="s"/>
      <c r="C11" s="12" t="s">
        <v>13</v>
      </c>
      <c r="D11" s="12" t="s">
        <v>13</v>
      </c>
      <c r="E11" s="12" t="s">
        <v>13</v>
      </c>
      <c r="F11" s="12" t="s">
        <v>13</v>
      </c>
      <c r="G11" s="12"/>
      <c r="H11" s="12"/>
      <c r="I11" s="13"/>
      <c r="J11" s="13" t="n">
        <v>853</v>
      </c>
      <c r="K11" s="13" t="s">
        <v>400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400</v>
      </c>
      <c r="B12" s="21" t="s"/>
      <c r="C12" s="12" t="s">
        <v>13</v>
      </c>
      <c r="D12" s="12" t="s">
        <v>13</v>
      </c>
      <c r="E12" s="12" t="s">
        <v>13</v>
      </c>
      <c r="F12" s="12" t="s">
        <v>13</v>
      </c>
      <c r="G12" s="12"/>
      <c r="H12" s="12"/>
      <c r="I12" s="13"/>
      <c r="J12" s="13" t="n">
        <v>859</v>
      </c>
      <c r="K12" s="13" t="s">
        <v>401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402</v>
      </c>
      <c r="B13" s="21" t="s"/>
      <c r="C13" s="12" t="s">
        <v>13</v>
      </c>
      <c r="D13" s="12" t="s">
        <v>13</v>
      </c>
      <c r="E13" s="12" t="s">
        <v>13</v>
      </c>
      <c r="F13" s="12" t="s">
        <v>13</v>
      </c>
      <c r="G13" s="12"/>
      <c r="H13" s="12"/>
      <c r="I13" s="13"/>
      <c r="J13" s="13" t="n">
        <v>866</v>
      </c>
      <c r="K13" s="13" t="s">
        <v>403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403</v>
      </c>
      <c r="B14" s="21" t="s"/>
      <c r="C14" s="23" t="s">
        <v>404</v>
      </c>
      <c r="D14" s="12" t="s">
        <v>13</v>
      </c>
      <c r="E14" s="12" t="n">
        <v>1</v>
      </c>
      <c r="F14" s="22" t="n">
        <v>1000</v>
      </c>
      <c r="G14" s="12"/>
      <c r="H14" s="12"/>
      <c r="I14" s="13"/>
      <c r="J14" s="13" t="n">
        <v>871</v>
      </c>
      <c r="K14" s="13" t="s">
        <v>405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405</v>
      </c>
      <c r="B15" s="21" t="s"/>
      <c r="C15" s="12" t="s">
        <v>13</v>
      </c>
      <c r="D15" s="12" t="s">
        <v>13</v>
      </c>
      <c r="E15" s="12" t="s">
        <v>13</v>
      </c>
      <c r="F15" s="12" t="s">
        <v>13</v>
      </c>
      <c r="G15" s="12"/>
      <c r="H15" s="12"/>
      <c r="I15" s="13"/>
      <c r="J15" s="13" t="n">
        <v>880</v>
      </c>
      <c r="K15" s="13" t="s">
        <v>406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406</v>
      </c>
      <c r="B16" s="21" t="s"/>
      <c r="C16" s="12" t="s">
        <v>13</v>
      </c>
      <c r="D16" s="12" t="s">
        <v>13</v>
      </c>
      <c r="E16" s="12" t="s">
        <v>13</v>
      </c>
      <c r="F16" s="12" t="s">
        <v>13</v>
      </c>
      <c r="G16" s="12"/>
      <c r="H16" s="12"/>
      <c r="I16" s="13"/>
      <c r="J16" s="13" t="n">
        <v>885</v>
      </c>
      <c r="K16" s="13" t="s">
        <v>407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407</v>
      </c>
      <c r="B17" s="21" t="s"/>
      <c r="C17" s="12" t="s">
        <v>13</v>
      </c>
      <c r="D17" s="12" t="s">
        <v>13</v>
      </c>
      <c r="E17" s="12" t="s">
        <v>13</v>
      </c>
      <c r="F17" s="12" t="s">
        <v>13</v>
      </c>
      <c r="G17" s="12"/>
      <c r="H17" s="12"/>
      <c r="I17" s="13"/>
      <c r="J17" s="13" t="n">
        <v>894</v>
      </c>
      <c r="K17" s="13" t="s">
        <v>408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409</v>
      </c>
      <c r="B18" s="21" t="s"/>
      <c r="C18" s="12" t="s">
        <v>13</v>
      </c>
      <c r="D18" s="12" t="s">
        <v>13</v>
      </c>
      <c r="E18" s="12" t="s">
        <v>13</v>
      </c>
      <c r="F18" s="12" t="s">
        <v>13</v>
      </c>
      <c r="G18" s="12"/>
      <c r="H18" s="12"/>
      <c r="I18" s="13"/>
      <c r="J18" s="13" t="n">
        <v>898</v>
      </c>
      <c r="K18" s="13" t="s">
        <v>410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19.7" hidden="true" customHeight="false" outlineLevel="0" collapsed="false">
      <c r="A19" s="21"/>
      <c r="B19" s="21"/>
      <c r="C19" s="12"/>
      <c r="D19" s="12"/>
      <c r="E19" s="12"/>
      <c r="F19" s="12"/>
      <c r="G19" s="12"/>
      <c r="H19" s="12"/>
      <c r="I19" s="13"/>
      <c r="J19" s="13"/>
      <c r="K19" s="1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19.7" hidden="true" customHeight="false" outlineLevel="0" collapsed="false">
      <c r="A20" s="21"/>
      <c r="B20" s="21"/>
      <c r="C20" s="12"/>
      <c r="D20" s="12"/>
      <c r="E20" s="12"/>
      <c r="F20" s="12"/>
      <c r="G20" s="12"/>
      <c r="H20" s="12"/>
      <c r="I20" s="13"/>
      <c r="J20" s="13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19.7" hidden="true" customHeight="false" outlineLevel="0" collapsed="false">
      <c r="A21" s="21"/>
      <c r="B21" s="21"/>
      <c r="C21" s="12"/>
      <c r="D21" s="12"/>
      <c r="E21" s="12"/>
      <c r="F21" s="12"/>
      <c r="G21" s="12"/>
      <c r="H21" s="12"/>
      <c r="I21" s="13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410</v>
      </c>
      <c r="B22" s="21" t="s"/>
      <c r="C22" s="12" t="s">
        <v>13</v>
      </c>
      <c r="D22" s="12" t="s">
        <v>13</v>
      </c>
      <c r="E22" s="12" t="s">
        <v>13</v>
      </c>
      <c r="F22" s="12" t="s">
        <v>13</v>
      </c>
      <c r="G22" s="12"/>
      <c r="H22" s="12"/>
      <c r="I22" s="13"/>
      <c r="J22" s="13" t="n">
        <v>906</v>
      </c>
      <c r="K22" s="13" t="s">
        <v>411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411</v>
      </c>
      <c r="B23" s="21" t="s"/>
      <c r="C23" s="12" t="s">
        <v>13</v>
      </c>
      <c r="D23" s="12" t="s">
        <v>13</v>
      </c>
      <c r="E23" s="12" t="s">
        <v>13</v>
      </c>
      <c r="F23" s="12" t="s">
        <v>13</v>
      </c>
      <c r="G23" s="12"/>
      <c r="H23" s="12"/>
      <c r="I23" s="13"/>
      <c r="J23" s="13" t="n">
        <v>912</v>
      </c>
      <c r="K23" s="13" t="s">
        <v>412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412</v>
      </c>
      <c r="B24" s="21" t="s"/>
      <c r="C24" s="12" t="s">
        <v>13</v>
      </c>
      <c r="D24" s="12" t="s">
        <v>13</v>
      </c>
      <c r="E24" s="12" t="s">
        <v>13</v>
      </c>
      <c r="F24" s="12" t="s">
        <v>13</v>
      </c>
      <c r="G24" s="12"/>
      <c r="H24" s="12"/>
      <c r="I24" s="13"/>
      <c r="J24" s="13" t="n">
        <v>917</v>
      </c>
      <c r="K24" s="13" t="s">
        <v>413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413</v>
      </c>
      <c r="B25" s="21" t="s"/>
      <c r="C25" s="12" t="s">
        <v>13</v>
      </c>
      <c r="D25" s="12" t="s">
        <v>13</v>
      </c>
      <c r="E25" s="12" t="s">
        <v>13</v>
      </c>
      <c r="F25" s="12" t="s">
        <v>13</v>
      </c>
      <c r="G25" s="12"/>
      <c r="H25" s="12"/>
      <c r="I25" s="13"/>
      <c r="J25" s="13" t="n">
        <v>922</v>
      </c>
      <c r="K25" s="13" t="s">
        <v>414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415</v>
      </c>
      <c r="B26" s="21" t="s"/>
      <c r="C26" s="12" t="s">
        <v>13</v>
      </c>
      <c r="D26" s="12" t="s">
        <v>13</v>
      </c>
      <c r="E26" s="12" t="s">
        <v>13</v>
      </c>
      <c r="F26" s="12" t="s">
        <v>13</v>
      </c>
      <c r="G26" s="12"/>
      <c r="H26" s="12"/>
      <c r="I26" s="13"/>
      <c r="J26" s="13" t="n">
        <v>929</v>
      </c>
      <c r="K26" s="13" t="s">
        <v>416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417</v>
      </c>
      <c r="B27" s="21" t="s"/>
      <c r="C27" s="23" t="s">
        <v>418</v>
      </c>
      <c r="D27" s="12" t="s">
        <v>13</v>
      </c>
      <c r="E27" s="12" t="n">
        <v>1</v>
      </c>
      <c r="F27" s="22" t="n">
        <v>200</v>
      </c>
      <c r="G27" s="12"/>
      <c r="H27" s="12"/>
      <c r="I27" s="13"/>
      <c r="J27" s="13" t="n">
        <v>935</v>
      </c>
      <c r="K27" s="13" t="s">
        <v>419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2</v>
      </c>
      <c r="F28" s="24" t="n">
        <f aca="false">SUM(F6:F27)</f>
        <v>1200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420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421</v>
      </c>
      <c r="B6" s="21" t="s"/>
      <c r="C6" s="12" t="s">
        <v>13</v>
      </c>
      <c r="D6" s="12" t="s">
        <v>13</v>
      </c>
      <c r="E6" s="12" t="s">
        <v>13</v>
      </c>
      <c r="F6" s="26" t="s">
        <v>13</v>
      </c>
      <c r="G6" s="12"/>
      <c r="H6" s="12"/>
      <c r="I6" s="13"/>
      <c r="J6" s="13" t="n">
        <v>942</v>
      </c>
      <c r="K6" s="13" t="s">
        <v>422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22.35" hidden="false" customHeight="false" outlineLevel="0" collapsed="false">
      <c r="A7" s="21" t="s">
        <v>422</v>
      </c>
      <c r="B7" s="21" t="s"/>
      <c r="C7" s="12" t="s">
        <v>13</v>
      </c>
      <c r="D7" s="12" t="s">
        <v>13</v>
      </c>
      <c r="E7" s="12" t="s">
        <v>13</v>
      </c>
      <c r="F7" s="26" t="s">
        <v>13</v>
      </c>
      <c r="G7" s="12"/>
      <c r="H7" s="12"/>
      <c r="I7" s="13"/>
      <c r="J7" s="13" t="n">
        <v>947</v>
      </c>
      <c r="K7" s="13" t="s">
        <v>423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423</v>
      </c>
      <c r="B8" s="21" t="s"/>
      <c r="C8" s="12" t="s">
        <v>13</v>
      </c>
      <c r="D8" s="12" t="s">
        <v>13</v>
      </c>
      <c r="E8" s="12" t="s">
        <v>13</v>
      </c>
      <c r="F8" s="26" t="s">
        <v>13</v>
      </c>
      <c r="G8" s="12"/>
      <c r="H8" s="12"/>
      <c r="I8" s="13"/>
      <c r="J8" s="13" t="n">
        <v>954</v>
      </c>
      <c r="K8" s="13" t="s">
        <v>424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424</v>
      </c>
      <c r="B9" s="21" t="s"/>
      <c r="C9" s="23" t="s">
        <v>425</v>
      </c>
      <c r="D9" s="12" t="s">
        <v>13</v>
      </c>
      <c r="E9" s="12" t="n">
        <v>1</v>
      </c>
      <c r="F9" s="22" t="n">
        <v>2100</v>
      </c>
      <c r="G9" s="12"/>
      <c r="H9" s="12"/>
      <c r="I9" s="13"/>
      <c r="J9" s="13" t="n">
        <v>957</v>
      </c>
      <c r="K9" s="13" t="s">
        <v>426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426</v>
      </c>
      <c r="B10" s="21" t="s"/>
      <c r="C10" s="12" t="s">
        <v>13</v>
      </c>
      <c r="D10" s="12" t="s">
        <v>13</v>
      </c>
      <c r="E10" s="12" t="s">
        <v>13</v>
      </c>
      <c r="F10" s="12" t="s">
        <v>13</v>
      </c>
      <c r="G10" s="12"/>
      <c r="H10" s="12"/>
      <c r="I10" s="13"/>
      <c r="J10" s="13" t="n">
        <v>965</v>
      </c>
      <c r="K10" s="13" t="s">
        <v>427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428</v>
      </c>
      <c r="B11" s="21" t="s"/>
      <c r="C11" s="12" t="s">
        <v>13</v>
      </c>
      <c r="D11" s="12" t="s">
        <v>13</v>
      </c>
      <c r="E11" s="12" t="s">
        <v>13</v>
      </c>
      <c r="F11" s="12" t="s">
        <v>13</v>
      </c>
      <c r="G11" s="12"/>
      <c r="H11" s="12"/>
      <c r="I11" s="13"/>
      <c r="J11" s="13" t="n">
        <v>971</v>
      </c>
      <c r="K11" s="13" t="s">
        <v>429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429</v>
      </c>
      <c r="B12" s="21" t="s"/>
      <c r="C12" s="12" t="s">
        <v>13</v>
      </c>
      <c r="D12" s="12" t="s">
        <v>13</v>
      </c>
      <c r="E12" s="12" t="s">
        <v>13</v>
      </c>
      <c r="F12" s="12" t="s">
        <v>13</v>
      </c>
      <c r="G12" s="12"/>
      <c r="H12" s="12"/>
      <c r="I12" s="13"/>
      <c r="J12" s="13" t="n">
        <v>977</v>
      </c>
      <c r="K12" s="13" t="s">
        <v>430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431</v>
      </c>
      <c r="B13" s="21" t="s"/>
      <c r="C13" s="12" t="s">
        <v>13</v>
      </c>
      <c r="D13" s="12" t="s">
        <v>13</v>
      </c>
      <c r="E13" s="12" t="s">
        <v>13</v>
      </c>
      <c r="F13" s="12" t="s">
        <v>13</v>
      </c>
      <c r="G13" s="12"/>
      <c r="H13" s="12"/>
      <c r="I13" s="13"/>
      <c r="J13" s="13" t="n">
        <v>981</v>
      </c>
      <c r="K13" s="13" t="s">
        <v>432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432</v>
      </c>
      <c r="B14" s="21" t="s"/>
      <c r="C14" s="12" t="s">
        <v>13</v>
      </c>
      <c r="D14" s="12" t="s">
        <v>13</v>
      </c>
      <c r="E14" s="12" t="s">
        <v>13</v>
      </c>
      <c r="F14" s="12" t="s">
        <v>13</v>
      </c>
      <c r="G14" s="12"/>
      <c r="H14" s="12"/>
      <c r="I14" s="13"/>
      <c r="J14" s="13" t="n">
        <v>990</v>
      </c>
      <c r="K14" s="13" t="s">
        <v>433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434</v>
      </c>
      <c r="B15" s="21" t="s"/>
      <c r="C15" s="12" t="s">
        <v>13</v>
      </c>
      <c r="D15" s="12" t="s">
        <v>13</v>
      </c>
      <c r="E15" s="12" t="s">
        <v>13</v>
      </c>
      <c r="F15" s="12" t="s">
        <v>13</v>
      </c>
      <c r="G15" s="12"/>
      <c r="H15" s="12"/>
      <c r="I15" s="13"/>
      <c r="J15" s="13" t="n">
        <v>999</v>
      </c>
      <c r="K15" s="13" t="s">
        <v>435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435</v>
      </c>
      <c r="B16" s="21" t="s"/>
      <c r="C16" s="23" t="s">
        <v>436</v>
      </c>
      <c r="D16" s="12" t="s">
        <v>13</v>
      </c>
      <c r="E16" s="12" t="n">
        <v>1</v>
      </c>
      <c r="F16" s="22" t="n">
        <v>2100</v>
      </c>
      <c r="G16" s="12"/>
      <c r="H16" s="12"/>
      <c r="I16" s="13"/>
      <c r="J16" s="13" t="n">
        <v>1007</v>
      </c>
      <c r="K16" s="13" t="s">
        <v>437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437</v>
      </c>
      <c r="B17" s="21" t="s"/>
      <c r="C17" s="23" t="s">
        <v>438</v>
      </c>
      <c r="D17" s="12" t="s">
        <v>13</v>
      </c>
      <c r="E17" s="12" t="n">
        <v>1</v>
      </c>
      <c r="F17" s="22" t="n">
        <v>2100</v>
      </c>
      <c r="G17" s="12"/>
      <c r="H17" s="12"/>
      <c r="I17" s="13"/>
      <c r="J17" s="13" t="n">
        <v>1012</v>
      </c>
      <c r="K17" s="13" t="s">
        <v>439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439</v>
      </c>
      <c r="B18" s="21" t="s"/>
      <c r="C18" s="12" t="s">
        <v>13</v>
      </c>
      <c r="D18" s="12" t="s">
        <v>13</v>
      </c>
      <c r="E18" s="12" t="s">
        <v>13</v>
      </c>
      <c r="F18" s="12" t="s">
        <v>13</v>
      </c>
      <c r="G18" s="12"/>
      <c r="H18" s="12"/>
      <c r="I18" s="13"/>
      <c r="J18" s="13" t="n">
        <v>1018</v>
      </c>
      <c r="K18" s="13" t="s">
        <v>440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440</v>
      </c>
      <c r="B19" s="21" t="s"/>
      <c r="C19" s="23" t="s">
        <v>441</v>
      </c>
      <c r="D19" s="12" t="s">
        <v>13</v>
      </c>
      <c r="E19" s="12" t="n">
        <v>1</v>
      </c>
      <c r="F19" s="22" t="n">
        <v>2100</v>
      </c>
      <c r="G19" s="12"/>
      <c r="H19" s="12"/>
      <c r="I19" s="13"/>
      <c r="J19" s="13" t="n">
        <v>1021</v>
      </c>
      <c r="K19" s="13" t="s">
        <v>442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443</v>
      </c>
      <c r="B20" s="21" t="s"/>
      <c r="C20" s="12" t="s">
        <v>13</v>
      </c>
      <c r="D20" s="12" t="s">
        <v>13</v>
      </c>
      <c r="E20" s="12" t="s">
        <v>13</v>
      </c>
      <c r="F20" s="12" t="s">
        <v>13</v>
      </c>
      <c r="G20" s="12"/>
      <c r="H20" s="12"/>
      <c r="I20" s="13"/>
      <c r="J20" s="13" t="n">
        <v>1029</v>
      </c>
      <c r="K20" s="13" t="s">
        <v>444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444</v>
      </c>
      <c r="B21" s="21" t="s"/>
      <c r="C21" s="12" t="s">
        <v>13</v>
      </c>
      <c r="D21" s="12" t="s">
        <v>13</v>
      </c>
      <c r="E21" s="12" t="s">
        <v>13</v>
      </c>
      <c r="F21" s="12" t="s">
        <v>13</v>
      </c>
      <c r="G21" s="12"/>
      <c r="H21" s="12"/>
      <c r="I21" s="13"/>
      <c r="J21" s="13" t="n">
        <v>1035</v>
      </c>
      <c r="K21" s="13" t="s">
        <v>445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445</v>
      </c>
      <c r="B22" s="21" t="s"/>
      <c r="C22" s="12" t="s">
        <v>13</v>
      </c>
      <c r="D22" s="12" t="s">
        <v>13</v>
      </c>
      <c r="E22" s="12" t="s">
        <v>13</v>
      </c>
      <c r="F22" s="12" t="s">
        <v>13</v>
      </c>
      <c r="G22" s="12"/>
      <c r="H22" s="12"/>
      <c r="I22" s="13"/>
      <c r="J22" s="13" t="n">
        <v>1044</v>
      </c>
      <c r="K22" s="13" t="s">
        <v>446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19.7" hidden="true" customHeight="false" outlineLevel="0" collapsed="false">
      <c r="A23" s="21"/>
      <c r="B23" s="21"/>
      <c r="C23" s="12"/>
      <c r="D23" s="12"/>
      <c r="E23" s="12"/>
      <c r="F23" s="12"/>
      <c r="G23" s="12"/>
      <c r="H23" s="12"/>
      <c r="I23" s="13"/>
      <c r="J23" s="13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446</v>
      </c>
      <c r="B24" s="21" t="s"/>
      <c r="C24" s="12" t="s">
        <v>13</v>
      </c>
      <c r="D24" s="12" t="s">
        <v>13</v>
      </c>
      <c r="E24" s="12" t="s">
        <v>13</v>
      </c>
      <c r="F24" s="12" t="s">
        <v>13</v>
      </c>
      <c r="G24" s="12"/>
      <c r="H24" s="12"/>
      <c r="I24" s="13"/>
      <c r="J24" s="13" t="n">
        <v>1053</v>
      </c>
      <c r="K24" s="13" t="s">
        <v>447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447</v>
      </c>
      <c r="B25" s="21" t="s"/>
      <c r="C25" s="12" t="s">
        <v>13</v>
      </c>
      <c r="D25" s="12" t="s">
        <v>13</v>
      </c>
      <c r="E25" s="12" t="s">
        <v>13</v>
      </c>
      <c r="F25" s="12" t="s">
        <v>13</v>
      </c>
      <c r="G25" s="12"/>
      <c r="H25" s="12"/>
      <c r="I25" s="13"/>
      <c r="J25" s="13" t="n">
        <v>1059</v>
      </c>
      <c r="K25" s="13" t="s">
        <v>448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449</v>
      </c>
      <c r="B26" s="21" t="s"/>
      <c r="C26" s="12" t="s">
        <v>13</v>
      </c>
      <c r="D26" s="12" t="s">
        <v>13</v>
      </c>
      <c r="E26" s="12" t="s">
        <v>13</v>
      </c>
      <c r="F26" s="12" t="s">
        <v>13</v>
      </c>
      <c r="G26" s="12"/>
      <c r="H26" s="12"/>
      <c r="I26" s="13"/>
      <c r="J26" s="13" t="n">
        <v>1066</v>
      </c>
      <c r="K26" s="13" t="s">
        <v>450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450</v>
      </c>
      <c r="B27" s="21" t="s"/>
      <c r="C27" s="12" t="s">
        <v>13</v>
      </c>
      <c r="D27" s="12" t="s">
        <v>13</v>
      </c>
      <c r="E27" s="12" t="s">
        <v>13</v>
      </c>
      <c r="F27" s="12" t="s">
        <v>13</v>
      </c>
      <c r="G27" s="12"/>
      <c r="H27" s="12"/>
      <c r="I27" s="13"/>
      <c r="J27" s="13" t="n">
        <v>1071</v>
      </c>
      <c r="K27" s="13" t="s">
        <v>451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4</v>
      </c>
      <c r="F28" s="24" t="n">
        <f aca="false">SUM(F6:F27)</f>
        <v>8400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outlinePr summaryBelow="0"/>
    <pageSetUpPr fitToPage="tru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38"/>
    <col collapsed="false" customWidth="true" hidden="false" outlineLevel="0" style="0" width="17.38" min="2" max="2"/>
  </cols>
  <sheetData>
    <row r="1" customFormat="false" ht="22.35" hidden="false" customHeight="false" outlineLevel="0" collapsed="false">
      <c r="A1" s="1" t="s">
        <v>452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7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.35" hidden="false" customHeight="false" outlineLevel="0" collapsed="false">
      <c r="A3" s="5" t="s">
        <v>1</v>
      </c>
      <c r="B3" s="5" t="inlineStr">
        <is>
          <t>ข้อมูลกฎหมาย</t>
        </is>
      </c>
      <c r="C3" s="6" t="s">
        <v>2</v>
      </c>
      <c r="D3" s="6"/>
      <c r="E3" s="6"/>
      <c r="F3" s="6"/>
      <c r="G3" s="6"/>
      <c r="H3" s="6"/>
      <c r="I3" s="7" t="s">
        <v>3</v>
      </c>
      <c r="J3" s="8" t="s">
        <v>4</v>
      </c>
      <c r="K3" s="9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9.7" hidden="false" customHeight="false" outlineLevel="0" collapsed="false">
      <c r="A4" s="5"/>
      <c r="B4" s="5" t="inlineStr">
        <is>
          <t>กฎหมาย</t>
        </is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2"/>
      <c r="M4" s="10"/>
      <c r="N4" s="2"/>
      <c r="O4" s="2"/>
      <c r="P4" s="2"/>
      <c r="Q4" s="2"/>
      <c r="R4" s="2"/>
      <c r="S4" s="2"/>
      <c r="T4" s="2"/>
      <c r="U4" s="2"/>
    </row>
    <row r="5" customFormat="false" ht="19.7" hidden="false" customHeight="false" outlineLevel="0" collapsed="false">
      <c r="A5" s="5"/>
      <c r="B5" s="5"/>
      <c r="C5" s="5"/>
      <c r="D5" s="5"/>
      <c r="E5" s="5"/>
      <c r="F5" s="5"/>
      <c r="G5" s="6" t="s">
        <v>8</v>
      </c>
      <c r="H5" s="6" t="s">
        <v>11</v>
      </c>
      <c r="I5" s="7"/>
      <c r="J5" s="7"/>
      <c r="K5" s="7"/>
      <c r="L5" s="2"/>
      <c r="M5" s="10"/>
      <c r="N5" s="2"/>
      <c r="O5" s="2"/>
      <c r="P5" s="2"/>
      <c r="Q5" s="2"/>
      <c r="R5" s="2"/>
      <c r="S5" s="2"/>
      <c r="T5" s="2"/>
      <c r="U5" s="2"/>
    </row>
    <row r="6" customFormat="false" ht="22.35" hidden="false" customHeight="false" outlineLevel="0" collapsed="false">
      <c r="A6" s="21" t="s">
        <v>451</v>
      </c>
      <c r="B6" s="21" t="s"/>
      <c r="C6" s="12" t="s">
        <v>13</v>
      </c>
      <c r="D6" s="12"/>
      <c r="E6" s="12"/>
      <c r="F6" s="22" t="s">
        <v>13</v>
      </c>
      <c r="G6" s="12"/>
      <c r="H6" s="12"/>
      <c r="I6" s="13"/>
      <c r="J6" s="13" t="n">
        <v>1083</v>
      </c>
      <c r="K6" s="13" t="s">
        <v>453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85.05" hidden="false" customHeight="false" outlineLevel="0" collapsed="false">
      <c r="A7" s="21" t="s">
        <v>453</v>
      </c>
      <c r="B7" s="21" t="s"/>
      <c r="C7" s="12" t="s">
        <v>13</v>
      </c>
      <c r="D7" s="12"/>
      <c r="E7" s="12"/>
      <c r="F7" s="22"/>
      <c r="G7" s="12" t="n">
        <v>11</v>
      </c>
      <c r="H7" s="27" t="s">
        <v>454</v>
      </c>
      <c r="I7" s="28" t="s">
        <v>455</v>
      </c>
      <c r="J7" s="13" t="n">
        <v>1089</v>
      </c>
      <c r="K7" s="13" t="s">
        <v>456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22.35" hidden="false" customHeight="false" outlineLevel="0" collapsed="false">
      <c r="A8" s="21" t="s">
        <v>456</v>
      </c>
      <c r="B8" s="21" t="s"/>
      <c r="C8" s="12" t="s">
        <v>13</v>
      </c>
      <c r="D8" s="12"/>
      <c r="E8" s="12"/>
      <c r="F8" s="22"/>
      <c r="G8" s="12"/>
      <c r="H8" s="12"/>
      <c r="I8" s="13"/>
      <c r="J8" s="13" t="n">
        <v>1096</v>
      </c>
      <c r="K8" s="13" t="s">
        <v>457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22.35" hidden="false" customHeight="false" outlineLevel="0" collapsed="false">
      <c r="A9" s="21" t="s">
        <v>458</v>
      </c>
      <c r="B9" s="21" t="s"/>
      <c r="C9" s="12" t="s">
        <v>13</v>
      </c>
      <c r="D9" s="12"/>
      <c r="E9" s="12"/>
      <c r="F9" s="22"/>
      <c r="G9" s="12"/>
      <c r="H9" s="12"/>
      <c r="I9" s="13"/>
      <c r="J9" s="13" t="n">
        <v>1107</v>
      </c>
      <c r="K9" s="13" t="s">
        <v>459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22.35" hidden="false" customHeight="false" outlineLevel="0" collapsed="false">
      <c r="A10" s="21" t="s">
        <v>459</v>
      </c>
      <c r="B10" s="21" t="s"/>
      <c r="C10" s="23" t="s">
        <v>460</v>
      </c>
      <c r="D10" s="12" t="s">
        <v>13</v>
      </c>
      <c r="E10" s="12" t="n">
        <v>1</v>
      </c>
      <c r="F10" s="22" t="n">
        <v>4000</v>
      </c>
      <c r="G10" s="12"/>
      <c r="H10" s="12"/>
      <c r="I10" s="13"/>
      <c r="J10" s="13" t="n">
        <v>1112</v>
      </c>
      <c r="K10" s="13" t="s">
        <v>461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22.35" hidden="false" customHeight="false" outlineLevel="0" collapsed="false">
      <c r="A11" s="21" t="s">
        <v>461</v>
      </c>
      <c r="B11" s="21" t="s"/>
      <c r="C11" s="12" t="s">
        <v>13</v>
      </c>
      <c r="D11" s="12"/>
      <c r="E11" s="12"/>
      <c r="F11" s="22"/>
      <c r="G11" s="12"/>
      <c r="H11" s="12"/>
      <c r="I11" s="13"/>
      <c r="J11" s="13" t="n">
        <v>1117</v>
      </c>
      <c r="K11" s="13" t="s">
        <v>462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2.35" hidden="false" customHeight="false" outlineLevel="0" collapsed="false">
      <c r="A12" s="21" t="s">
        <v>462</v>
      </c>
      <c r="B12" s="21" t="s"/>
      <c r="C12" s="12"/>
      <c r="D12" s="12"/>
      <c r="E12" s="12"/>
      <c r="F12" s="22"/>
      <c r="G12" s="12"/>
      <c r="H12" s="12"/>
      <c r="I12" s="13"/>
      <c r="J12" s="13" t="n">
        <v>1122</v>
      </c>
      <c r="K12" s="13" t="s">
        <v>463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2.35" hidden="false" customHeight="false" outlineLevel="0" collapsed="false">
      <c r="A13" s="21" t="s">
        <v>463</v>
      </c>
      <c r="B13" s="21" t="s"/>
      <c r="C13" s="12"/>
      <c r="D13" s="12"/>
      <c r="E13" s="12"/>
      <c r="F13" s="22"/>
      <c r="G13" s="12"/>
      <c r="H13" s="12"/>
      <c r="I13" s="13"/>
      <c r="J13" s="13" t="n">
        <v>1130</v>
      </c>
      <c r="K13" s="13" t="s">
        <v>464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22.35" hidden="false" customHeight="false" outlineLevel="0" collapsed="false">
      <c r="A14" s="21" t="s">
        <v>465</v>
      </c>
      <c r="B14" s="21" t="s"/>
      <c r="C14" s="12"/>
      <c r="D14" s="12"/>
      <c r="E14" s="12"/>
      <c r="F14" s="22"/>
      <c r="G14" s="12"/>
      <c r="H14" s="12"/>
      <c r="I14" s="13"/>
      <c r="J14" s="13" t="n">
        <v>1140</v>
      </c>
      <c r="K14" s="13" t="s">
        <v>466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2.35" hidden="false" customHeight="false" outlineLevel="0" collapsed="false">
      <c r="A15" s="21" t="s">
        <v>467</v>
      </c>
      <c r="B15" s="21" t="s"/>
      <c r="C15" s="12"/>
      <c r="D15" s="12"/>
      <c r="E15" s="12"/>
      <c r="F15" s="22"/>
      <c r="G15" s="12"/>
      <c r="H15" s="12"/>
      <c r="I15" s="13"/>
      <c r="J15" s="13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2.35" hidden="false" customHeight="false" outlineLevel="0" collapsed="false">
      <c r="A16" s="21" t="s">
        <v>468</v>
      </c>
      <c r="B16" s="21" t="s"/>
      <c r="C16" s="12"/>
      <c r="D16" s="12"/>
      <c r="E16" s="12"/>
      <c r="F16" s="22"/>
      <c r="G16" s="12"/>
      <c r="H16" s="12"/>
      <c r="I16" s="13"/>
      <c r="J16" s="13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22.35" hidden="false" customHeight="false" outlineLevel="0" collapsed="false">
      <c r="A17" s="21" t="s">
        <v>469</v>
      </c>
      <c r="B17" s="21" t="s"/>
      <c r="C17" s="12"/>
      <c r="D17" s="12"/>
      <c r="E17" s="12"/>
      <c r="F17" s="22"/>
      <c r="G17" s="12"/>
      <c r="H17" s="12"/>
      <c r="I17" s="13"/>
      <c r="J17" s="13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22.35" hidden="false" customHeight="false" outlineLevel="0" collapsed="false">
      <c r="A18" s="21" t="s">
        <v>470</v>
      </c>
      <c r="B18" s="21" t="s"/>
      <c r="C18" s="12"/>
      <c r="D18" s="12"/>
      <c r="E18" s="12"/>
      <c r="F18" s="22"/>
      <c r="G18" s="12"/>
      <c r="H18" s="12"/>
      <c r="I18" s="13"/>
      <c r="J18" s="13"/>
      <c r="K18" s="13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2.35" hidden="false" customHeight="false" outlineLevel="0" collapsed="false">
      <c r="A19" s="21" t="s">
        <v>471</v>
      </c>
      <c r="B19" s="21" t="s"/>
      <c r="C19" s="12"/>
      <c r="D19" s="12"/>
      <c r="E19" s="12"/>
      <c r="F19" s="22"/>
      <c r="G19" s="12"/>
      <c r="H19" s="12"/>
      <c r="I19" s="13"/>
      <c r="J19" s="13"/>
      <c r="K19" s="1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22.35" hidden="false" customHeight="false" outlineLevel="0" collapsed="false">
      <c r="A20" s="21" t="s">
        <v>472</v>
      </c>
      <c r="B20" s="21" t="s"/>
      <c r="C20" s="12"/>
      <c r="D20" s="12"/>
      <c r="E20" s="12"/>
      <c r="F20" s="22"/>
      <c r="G20" s="12"/>
      <c r="H20" s="12"/>
      <c r="I20" s="13"/>
      <c r="J20" s="13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22.35" hidden="false" customHeight="false" outlineLevel="0" collapsed="false">
      <c r="A21" s="21" t="s">
        <v>473</v>
      </c>
      <c r="B21" s="21" t="s"/>
      <c r="C21" s="12"/>
      <c r="D21" s="12"/>
      <c r="E21" s="12"/>
      <c r="F21" s="22"/>
      <c r="G21" s="12"/>
      <c r="H21" s="12"/>
      <c r="I21" s="13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22.35" hidden="false" customHeight="false" outlineLevel="0" collapsed="false">
      <c r="A22" s="21" t="s">
        <v>474</v>
      </c>
      <c r="B22" s="21" t="s"/>
      <c r="C22" s="12"/>
      <c r="D22" s="12"/>
      <c r="E22" s="12"/>
      <c r="F22" s="22"/>
      <c r="G22" s="12"/>
      <c r="H22" s="12"/>
      <c r="I22" s="13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22.35" hidden="false" customHeight="false" outlineLevel="0" collapsed="false">
      <c r="A23" s="21" t="s">
        <v>475</v>
      </c>
      <c r="B23" s="21" t="s"/>
      <c r="C23" s="12"/>
      <c r="D23" s="12"/>
      <c r="E23" s="12"/>
      <c r="F23" s="22"/>
      <c r="G23" s="12"/>
      <c r="H23" s="12"/>
      <c r="I23" s="13"/>
      <c r="J23" s="13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2.35" hidden="false" customHeight="false" outlineLevel="0" collapsed="false">
      <c r="A24" s="21" t="s">
        <v>476</v>
      </c>
      <c r="B24" s="21" t="s"/>
      <c r="C24" s="12"/>
      <c r="D24" s="12"/>
      <c r="E24" s="12"/>
      <c r="F24" s="22"/>
      <c r="G24" s="12"/>
      <c r="H24" s="12"/>
      <c r="I24" s="13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22.35" hidden="false" customHeight="false" outlineLevel="0" collapsed="false">
      <c r="A25" s="21" t="s">
        <v>477</v>
      </c>
      <c r="B25" s="21" t="s"/>
      <c r="C25" s="12"/>
      <c r="D25" s="12"/>
      <c r="E25" s="12"/>
      <c r="F25" s="22"/>
      <c r="G25" s="12"/>
      <c r="H25" s="12"/>
      <c r="I25" s="13"/>
      <c r="J25" s="13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22.35" hidden="false" customHeight="false" outlineLevel="0" collapsed="false">
      <c r="A26" s="21" t="s">
        <v>478</v>
      </c>
      <c r="B26" s="21" t="s"/>
      <c r="C26" s="12"/>
      <c r="D26" s="12"/>
      <c r="E26" s="12"/>
      <c r="F26" s="22"/>
      <c r="G26" s="12"/>
      <c r="H26" s="12"/>
      <c r="I26" s="13"/>
      <c r="J26" s="13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22.35" hidden="false" customHeight="false" outlineLevel="0" collapsed="false">
      <c r="A27" s="21" t="s">
        <v>479</v>
      </c>
      <c r="B27" s="21" t="s"/>
      <c r="C27" s="12"/>
      <c r="D27" s="12"/>
      <c r="E27" s="12"/>
      <c r="F27" s="22"/>
      <c r="G27" s="12"/>
      <c r="H27" s="12"/>
      <c r="I27" s="13"/>
      <c r="J27" s="13"/>
      <c r="K27" s="13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9.7" hidden="false" customHeight="false" outlineLevel="0" collapsed="false">
      <c r="A28" s="16" t="s">
        <v>38</v>
      </c>
      <c r="B28" s="16" t="s"/>
      <c r="C28" s="16"/>
      <c r="D28" s="16"/>
      <c r="E28" s="17" t="n">
        <f aca="false">SUM(E6:E27)</f>
        <v>1</v>
      </c>
      <c r="F28" s="24" t="n">
        <f aca="false">SUM(F6:F27)</f>
        <v>4000</v>
      </c>
      <c r="G28" s="18"/>
      <c r="H28" s="18"/>
      <c r="I28" s="18"/>
      <c r="J28" s="18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13">
    <mergeCell ref="A1:K1"/>
    <mergeCell ref="A3:A5"/>
    <mergeCell ref="C3:H3"/>
    <mergeCell ref="I3:I5"/>
    <mergeCell ref="J3:J5"/>
    <mergeCell ref="K3:K5"/>
    <mergeCell ref="C4:C5"/>
    <mergeCell ref="D4:D5"/>
    <mergeCell ref="E4:E5"/>
    <mergeCell ref="F4:F5"/>
    <mergeCell ref="G4:H4"/>
    <mergeCell ref="A28:D28"/>
    <mergeCell ref="G28:K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false" hidden="true" outlineLevel="0" max="5" min="2" style="0" width="12.63"/>
    <col collapsed="false" customWidth="true" hidden="false" outlineLevel="0" max="9" min="6" style="0" width="18"/>
  </cols>
  <sheetData>
    <row r="1" customFormat="false" ht="35.05" hidden="false" customHeight="false" outlineLevel="0" collapsed="false">
      <c r="A1" s="29" t="s">
        <v>480</v>
      </c>
      <c r="B1" s="29"/>
      <c r="C1" s="29"/>
      <c r="D1" s="29"/>
      <c r="E1" s="29"/>
      <c r="F1" s="29"/>
      <c r="G1" s="2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customFormat="false" ht="22.35" hidden="false" customHeight="false" outlineLevel="0" collapsed="false">
      <c r="A3" s="31" t="s">
        <v>481</v>
      </c>
      <c r="B3" s="32" t="s">
        <v>482</v>
      </c>
      <c r="C3" s="32"/>
      <c r="D3" s="33" t="s">
        <v>483</v>
      </c>
      <c r="E3" s="33"/>
      <c r="F3" s="34" t="s">
        <v>484</v>
      </c>
      <c r="G3" s="34"/>
      <c r="H3" s="35" t="s">
        <v>485</v>
      </c>
      <c r="I3" s="35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customFormat="false" ht="19.7" hidden="false" customHeight="false" outlineLevel="0" collapsed="false">
      <c r="A4" s="31"/>
      <c r="B4" s="32" t="s">
        <v>8</v>
      </c>
      <c r="C4" s="32" t="s">
        <v>9</v>
      </c>
      <c r="D4" s="33" t="s">
        <v>8</v>
      </c>
      <c r="E4" s="33" t="s">
        <v>9</v>
      </c>
      <c r="F4" s="34" t="s">
        <v>8</v>
      </c>
      <c r="G4" s="34" t="s">
        <v>9</v>
      </c>
      <c r="H4" s="36" t="s">
        <v>8</v>
      </c>
      <c r="I4" s="36" t="s">
        <v>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customFormat="false" ht="22.35" hidden="false" customHeight="false" outlineLevel="0" collapsed="false">
      <c r="A5" s="37" t="s">
        <v>486</v>
      </c>
      <c r="B5" s="38"/>
      <c r="C5" s="39"/>
      <c r="D5" s="40"/>
      <c r="E5" s="39"/>
      <c r="F5" s="41" t="n">
        <f aca="false">'ต.ค. 68'!D28</f>
        <v>0</v>
      </c>
      <c r="G5" s="39" t="n">
        <f aca="false">'ต.ค. 68'!E28</f>
        <v>0</v>
      </c>
      <c r="H5" s="42" t="n">
        <f aca="false">SUM(B5,D5,F5)</f>
        <v>0</v>
      </c>
      <c r="I5" s="43" t="n">
        <f aca="false">SUM(C5,E5,G5)</f>
        <v>0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customFormat="false" ht="22.35" hidden="false" customHeight="false" outlineLevel="0" collapsed="false">
      <c r="A6" s="37" t="s">
        <v>487</v>
      </c>
      <c r="B6" s="38"/>
      <c r="C6" s="39"/>
      <c r="D6" s="40"/>
      <c r="E6" s="39"/>
      <c r="F6" s="41" t="n">
        <f aca="false">'พ.ย.68'!D28</f>
        <v>0</v>
      </c>
      <c r="G6" s="39" t="n">
        <f aca="false">'พ.ย.68'!E28</f>
        <v>0</v>
      </c>
      <c r="H6" s="42" t="n">
        <f aca="false">SUM(B6,D6,F6)</f>
        <v>0</v>
      </c>
      <c r="I6" s="43" t="n">
        <f aca="false">SUM(C6,E6,G6)</f>
        <v>0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customFormat="false" ht="22.35" hidden="false" customHeight="false" outlineLevel="0" collapsed="false">
      <c r="A7" s="37" t="s">
        <v>488</v>
      </c>
      <c r="B7" s="38"/>
      <c r="C7" s="39"/>
      <c r="D7" s="38"/>
      <c r="E7" s="44"/>
      <c r="F7" s="38" t="n">
        <f aca="false">'ธ.ค. 68'!D28</f>
        <v>569</v>
      </c>
      <c r="G7" s="39" t="n">
        <f aca="false">'ธ.ค. 68'!E28</f>
        <v>873400</v>
      </c>
      <c r="H7" s="42" t="n">
        <f aca="false">SUM(B7,D7,F7)</f>
        <v>569</v>
      </c>
      <c r="I7" s="43" t="n">
        <f aca="false">SUM(C7,E7,G7)</f>
        <v>873400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customFormat="false" ht="22.35" hidden="false" customHeight="false" outlineLevel="0" collapsed="false">
      <c r="A8" s="37" t="s">
        <v>489</v>
      </c>
      <c r="B8" s="41"/>
      <c r="C8" s="39"/>
      <c r="D8" s="40"/>
      <c r="E8" s="39"/>
      <c r="F8" s="41" t="n">
        <f aca="false">'ม.ค.69'!D28</f>
        <v>997</v>
      </c>
      <c r="G8" s="39" t="n">
        <f aca="false">'ม.ค.69'!E28</f>
        <v>1336300</v>
      </c>
      <c r="H8" s="45" t="n">
        <f aca="false">SUM(B8,D8,F8)</f>
        <v>997</v>
      </c>
      <c r="I8" s="43" t="n">
        <f aca="false">SUM(C8,E8,G8)</f>
        <v>1336300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customFormat="false" ht="22.35" hidden="false" customHeight="false" outlineLevel="0" collapsed="false">
      <c r="A9" s="37" t="s">
        <v>490</v>
      </c>
      <c r="B9" s="38"/>
      <c r="C9" s="39"/>
      <c r="D9" s="38"/>
      <c r="E9" s="44"/>
      <c r="F9" s="38" t="n">
        <f aca="false">'ก.พ.69'!D28</f>
        <v>731</v>
      </c>
      <c r="G9" s="39" t="n">
        <f aca="false">'ก.พ.69'!E28</f>
        <v>1069900</v>
      </c>
      <c r="H9" s="42" t="n">
        <f aca="false">SUM(B9,D9,F9)</f>
        <v>731</v>
      </c>
      <c r="I9" s="43" t="n">
        <f aca="false">SUM(C9,E9,G9)</f>
        <v>1069900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customFormat="false" ht="22.35" hidden="false" customHeight="false" outlineLevel="0" collapsed="false">
      <c r="A10" s="37" t="s">
        <v>491</v>
      </c>
      <c r="B10" s="38"/>
      <c r="C10" s="39"/>
      <c r="D10" s="38"/>
      <c r="E10" s="44"/>
      <c r="F10" s="38" t="n">
        <f aca="false">'มี.ค.69'!D28</f>
        <v>156</v>
      </c>
      <c r="G10" s="39" t="n">
        <f aca="false">'มี.ค.69'!E28</f>
        <v>224600</v>
      </c>
      <c r="H10" s="42" t="n">
        <f aca="false">SUM(B10,D10,F10)</f>
        <v>156</v>
      </c>
      <c r="I10" s="43" t="n">
        <f aca="false">SUM(C10,E10,G10)</f>
        <v>224600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customFormat="false" ht="22.35" hidden="false" customHeight="false" outlineLevel="0" collapsed="false">
      <c r="A11" s="37" t="s">
        <v>492</v>
      </c>
      <c r="B11" s="38"/>
      <c r="C11" s="39"/>
      <c r="D11" s="38"/>
      <c r="E11" s="44"/>
      <c r="F11" s="38" t="n">
        <f aca="false">'เม.ย.69'!D28</f>
        <v>5</v>
      </c>
      <c r="G11" s="39" t="n">
        <f aca="false">'เม.ย.69'!E28</f>
        <v>8500</v>
      </c>
      <c r="H11" s="42" t="n">
        <f aca="false">SUM(B11,D11,F11)</f>
        <v>5</v>
      </c>
      <c r="I11" s="43" t="n">
        <f aca="false">SUM(C11,E11,G11)</f>
        <v>8500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customFormat="false" ht="22.35" hidden="false" customHeight="false" outlineLevel="0" collapsed="false">
      <c r="A12" s="37" t="s">
        <v>493</v>
      </c>
      <c r="B12" s="38"/>
      <c r="C12" s="39"/>
      <c r="D12" s="38"/>
      <c r="E12" s="44"/>
      <c r="F12" s="38" t="n">
        <f aca="false">'พ.ค.69'!D28</f>
        <v>4</v>
      </c>
      <c r="G12" s="39" t="n">
        <f aca="false">'พ.ค.69'!E28</f>
        <v>9300</v>
      </c>
      <c r="H12" s="42" t="n">
        <f aca="false">SUM(B12,D12,F12)</f>
        <v>4</v>
      </c>
      <c r="I12" s="43" t="n">
        <f aca="false">SUM(C12,E12,G12)</f>
        <v>9300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customFormat="false" ht="22.35" hidden="false" customHeight="false" outlineLevel="0" collapsed="false">
      <c r="A13" s="37" t="s">
        <v>494</v>
      </c>
      <c r="B13" s="38"/>
      <c r="C13" s="39"/>
      <c r="D13" s="38"/>
      <c r="E13" s="44"/>
      <c r="F13" s="38" t="n">
        <f aca="false">'มิ.ย.69'!D28</f>
        <v>4</v>
      </c>
      <c r="G13" s="39" t="n">
        <f aca="false">'มิ.ย.69'!E28</f>
        <v>8400</v>
      </c>
      <c r="H13" s="42" t="n">
        <f aca="false">SUM(B13,D13,F13)</f>
        <v>4</v>
      </c>
      <c r="I13" s="43" t="n">
        <f aca="false">SUM(C13,E13,G13)</f>
        <v>8400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customFormat="false" ht="22.35" hidden="false" customHeight="false" outlineLevel="0" collapsed="false">
      <c r="A14" s="37" t="s">
        <v>495</v>
      </c>
      <c r="B14" s="38"/>
      <c r="C14" s="39"/>
      <c r="D14" s="38"/>
      <c r="E14" s="44"/>
      <c r="F14" s="38" t="n">
        <f aca="false">'ก.ค.69'!D28</f>
        <v>2</v>
      </c>
      <c r="G14" s="39" t="n">
        <f aca="false">'ก.ค.69'!E28</f>
        <v>1200</v>
      </c>
      <c r="H14" s="42" t="n">
        <f aca="false">SUM(B14,D14,F14)</f>
        <v>2</v>
      </c>
      <c r="I14" s="43" t="n">
        <f aca="false">SUM(C14,E14,G14)</f>
        <v>1200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customFormat="false" ht="22.35" hidden="false" customHeight="false" outlineLevel="0" collapsed="false">
      <c r="A15" s="37" t="s">
        <v>496</v>
      </c>
      <c r="B15" s="38"/>
      <c r="C15" s="39"/>
      <c r="D15" s="38"/>
      <c r="E15" s="44"/>
      <c r="F15" s="38" t="n">
        <f aca="false">'ส.ค.69'!D28</f>
        <v>4</v>
      </c>
      <c r="G15" s="39" t="n">
        <f aca="false">'ส.ค.69'!E28</f>
        <v>8400</v>
      </c>
      <c r="H15" s="42" t="n">
        <f aca="false">SUM(B15,D15,F15)</f>
        <v>4</v>
      </c>
      <c r="I15" s="43" t="n">
        <f aca="false">SUM(C15,E15,G15)</f>
        <v>8400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customFormat="false" ht="22.35" hidden="false" customHeight="false" outlineLevel="0" collapsed="false">
      <c r="A16" s="37" t="s">
        <v>497</v>
      </c>
      <c r="B16" s="38"/>
      <c r="C16" s="39"/>
      <c r="D16" s="38"/>
      <c r="E16" s="44"/>
      <c r="F16" s="38" t="n">
        <f aca="false">'ก.ย. 69'!D28</f>
        <v>1</v>
      </c>
      <c r="G16" s="39" t="n">
        <f aca="false">'ก.ย. 69'!E28</f>
        <v>4000</v>
      </c>
      <c r="H16" s="42" t="n">
        <f aca="false">SUM(B16,D16,F16)</f>
        <v>1</v>
      </c>
      <c r="I16" s="43" t="n">
        <f aca="false">SUM(C16,E16,G16)</f>
        <v>4000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customFormat="false" ht="19.7" hidden="false" customHeight="false" outlineLevel="0" collapsed="false">
      <c r="A17" s="46" t="s">
        <v>38</v>
      </c>
      <c r="B17" s="47" t="n">
        <f aca="false">SUM(B5:B16)</f>
        <v>0</v>
      </c>
      <c r="C17" s="48" t="n">
        <f aca="false">SUM(C3:C16)</f>
        <v>0</v>
      </c>
      <c r="D17" s="49" t="n">
        <f aca="false">SUM(D3:D16)</f>
        <v>0</v>
      </c>
      <c r="E17" s="50" t="n">
        <f aca="false">SUM(E3:E16)</f>
        <v>0</v>
      </c>
      <c r="F17" s="51" t="n">
        <f aca="false">SUM(F3:F16)</f>
        <v>2473</v>
      </c>
      <c r="G17" s="52" t="n">
        <f aca="false">SUM(G3:G16)</f>
        <v>3544000</v>
      </c>
      <c r="H17" s="53" t="n">
        <f aca="false">SUM(H5:H16)</f>
        <v>2473</v>
      </c>
      <c r="I17" s="54" t="n">
        <f aca="false">SUM(I5:I16)</f>
        <v>3544000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customFormat="false" ht="15.75" hidden="false" customHeight="false" outlineLevel="0" collapsed="false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customFormat="false" ht="15.75" hidden="false" customHeight="fals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customFormat="false" ht="15.75" hidden="false" customHeight="fals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customFormat="false" ht="15.75" hidden="false" customHeight="fals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customFormat="false" ht="15.75" hidden="false" customHeight="fals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customFormat="false" ht="15.75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customFormat="false" ht="15.75" hidden="false" customHeight="false" outlineLevel="0" collapsed="false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customFormat="false" ht="15.75" hidden="false" customHeight="false" outlineLevel="0" collapsed="false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customFormat="false" ht="15.75" hidden="false" customHeight="fals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customFormat="false" ht="15.75" hidden="false" customHeight="fals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customFormat="false" ht="15.75" hidden="false" customHeight="false" outlineLevel="0" collapsed="false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customFormat="false" ht="15.75" hidden="false" customHeight="fals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customFormat="false" ht="15.75" hidden="false" customHeight="fals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customFormat="false" ht="15.75" hidden="false" customHeight="false" outlineLevel="0" collapsed="false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customFormat="false" ht="15.7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customFormat="false" ht="15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customFormat="false" ht="15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customFormat="false" ht="15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customFormat="false" ht="15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customFormat="false" ht="15.75" hidden="false" customHeight="fals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customFormat="false" ht="15.75" hidden="false" customHeight="fals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customFormat="false" ht="15.75" hidden="false" customHeight="false" outlineLevel="0" collapsed="false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customFormat="false" ht="15.75" hidden="false" customHeight="fals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customFormat="false" ht="15.75" hidden="false" customHeight="fals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customFormat="false" ht="15.75" hidden="false" customHeight="fals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customFormat="false" ht="15.75" hidden="false" customHeight="fals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customFormat="false" ht="15.75" hidden="false" customHeight="fals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customFormat="false" ht="15.75" hidden="false" customHeight="fals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customFormat="false" ht="15.75" hidden="false" customHeight="fals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customFormat="false" ht="15.75" hidden="false" customHeight="fals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customFormat="false" ht="15.75" hidden="false" customHeight="fals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customFormat="false" ht="15.75" hidden="false" customHeight="fals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customFormat="false" ht="15.75" hidden="false" customHeight="fals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customFormat="false" ht="15.75" hidden="false" customHeight="fals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customFormat="false" ht="15.75" hidden="false" customHeight="false" outlineLevel="0" collapsed="false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customFormat="false" ht="15.75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customFormat="false" ht="15.75" hidden="false" customHeight="fals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customFormat="false" ht="15.75" hidden="false" customHeight="fals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customFormat="false" ht="15.75" hidden="false" customHeight="fals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customFormat="false" ht="15.75" hidden="false" customHeight="fals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customFormat="false" ht="15.75" hidden="false" customHeight="fals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customFormat="false" ht="15.75" hidden="false" customHeight="fals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customFormat="false" ht="15.7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customFormat="false" ht="15.75" hidden="false" customHeight="fals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customFormat="false" ht="15.75" hidden="false" customHeight="fals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customFormat="false" ht="15.75" hidden="false" customHeight="false" outlineLevel="0" collapsed="false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customFormat="false" ht="15.75" hidden="false" customHeight="fals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customFormat="false" ht="15.75" hidden="false" customHeight="false" outlineLevel="0" collapsed="false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customFormat="false" ht="15.75" hidden="false" customHeight="false" outlineLevel="0" collapsed="false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customFormat="false" ht="15.75" hidden="false" customHeight="false" outlineLevel="0" collapsed="false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customFormat="false" ht="15.75" hidden="false" customHeight="false" outlineLevel="0" collapsed="false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customFormat="false" ht="15.75" hidden="false" customHeight="false" outlineLevel="0" collapsed="false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customFormat="false" ht="15.75" hidden="false" customHeight="fals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customFormat="false" ht="15.75" hidden="false" customHeight="fals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customFormat="false" ht="15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customFormat="false" ht="15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customFormat="false" ht="15.75" hidden="false" customHeight="fals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customFormat="false" ht="15.75" hidden="false" customHeight="false" outlineLevel="0" collapsed="false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customFormat="false" ht="15.75" hidden="false" customHeight="false" outlineLevel="0" collapsed="false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customFormat="false" ht="15.75" hidden="false" customHeight="false" outlineLevel="0" collapsed="false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customFormat="false" ht="15.75" hidden="false" customHeight="fals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customFormat="false" ht="15.75" hidden="false" customHeight="false" outlineLevel="0" collapsed="false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customFormat="false" ht="15.75" hidden="false" customHeight="false" outlineLevel="0" collapsed="false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customFormat="false" ht="15.75" hidden="false" customHeight="false" outlineLevel="0" collapsed="false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customFormat="false" ht="15.75" hidden="false" customHeight="false" outlineLevel="0" collapsed="false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customFormat="false" ht="15.75" hidden="false" customHeight="false" outlineLevel="0" collapsed="false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customFormat="false" ht="15.75" hidden="false" customHeight="fals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customFormat="false" ht="15.75" hidden="false" customHeight="fals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customFormat="false" ht="15.75" hidden="false" customHeight="fals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customFormat="false" ht="15.75" hidden="false" customHeight="false" outlineLevel="0" collapsed="false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customFormat="false" ht="15.75" hidden="false" customHeight="false" outlineLevel="0" collapsed="fals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customFormat="false" ht="15.75" hidden="false" customHeight="false" outlineLevel="0" collapsed="fals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customFormat="false" ht="15.75" hidden="false" customHeight="false" outlineLevel="0" collapsed="false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customFormat="false" ht="15.75" hidden="false" customHeight="fals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customFormat="false" ht="15.75" hidden="false" customHeight="false" outlineLevel="0" collapsed="false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customFormat="false" ht="15.75" hidden="false" customHeight="false" outlineLevel="0" collapsed="false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customFormat="false" ht="15.75" hidden="false" customHeight="false" outlineLevel="0" collapsed="false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customFormat="false" ht="15.75" hidden="false" customHeight="false" outlineLevel="0" collapsed="false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customFormat="false" ht="15.75" hidden="false" customHeight="false" outlineLevel="0" collapsed="false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customFormat="false" ht="15.75" hidden="false" customHeight="fals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customFormat="false" ht="15.75" hidden="false" customHeight="false" outlineLevel="0" collapsed="false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customFormat="false" ht="15.75" hidden="false" customHeight="false" outlineLevel="0" collapsed="false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customFormat="false" ht="15.75" hidden="false" customHeight="false" outlineLevel="0" collapsed="false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customFormat="false" ht="15.7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customFormat="false" ht="15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customFormat="false" ht="15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customFormat="false" ht="15.75" hidden="false" customHeight="false" outlineLevel="0" collapsed="false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customFormat="false" ht="15.75" hidden="false" customHeight="false" outlineLevel="0" collapsed="false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customFormat="false" ht="15.75" hidden="false" customHeight="false" outlineLevel="0" collapsed="false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customFormat="false" ht="15.75" hidden="false" customHeight="false" outlineLevel="0" collapsed="false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customFormat="false" ht="15.75" hidden="false" customHeight="false" outlineLevel="0" collapsed="false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customFormat="false" ht="15.75" hidden="false" customHeight="false" outlineLevel="0" collapsed="false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customFormat="false" ht="15.75" hidden="false" customHeight="false" outlineLevel="0" collapsed="false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customFormat="false" ht="15.75" hidden="false" customHeight="false" outlineLevel="0" collapsed="false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customFormat="false" ht="15.75" hidden="false" customHeight="false" outlineLevel="0" collapsed="false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customFormat="false" ht="15.75" hidden="false" customHeight="false" outlineLevel="0" collapsed="false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customFormat="false" ht="15.75" hidden="false" customHeight="false" outlineLevel="0" collapsed="false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customFormat="false" ht="15.75" hidden="false" customHeight="fals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customFormat="false" ht="15.75" hidden="false" customHeight="false" outlineLevel="0" collapsed="false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customFormat="false" ht="15.75" hidden="false" customHeight="false" outlineLevel="0" collapsed="false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customFormat="false" ht="15.75" hidden="false" customHeight="false" outlineLevel="0" collapsed="false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customFormat="false" ht="15.75" hidden="false" customHeight="false" outlineLevel="0" collapsed="false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customFormat="false" ht="15.75" hidden="false" customHeight="fals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customFormat="false" ht="15.75" hidden="false" customHeight="false" outlineLevel="0" collapsed="false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customFormat="false" ht="15.75" hidden="false" customHeight="false" outlineLevel="0" collapsed="false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customFormat="false" ht="15.75" hidden="false" customHeight="false" outlineLevel="0" collapsed="false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customFormat="false" ht="15.75" hidden="false" customHeight="false" outlineLevel="0" collapsed="false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customFormat="false" ht="15.75" hidden="false" customHeight="fals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customFormat="false" ht="15.75" hidden="false" customHeight="false" outlineLevel="0" collapsed="false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customFormat="false" ht="15.75" hidden="false" customHeight="fals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customFormat="false" ht="15.75" hidden="false" customHeight="false" outlineLevel="0" collapsed="false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customFormat="false" ht="15.75" hidden="false" customHeight="false" outlineLevel="0" collapsed="false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customFormat="false" ht="15.75" hidden="false" customHeight="false" outlineLevel="0" collapsed="false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customFormat="false" ht="15.75" hidden="false" customHeight="false" outlineLevel="0" collapsed="false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customFormat="false" ht="15.75" hidden="false" customHeight="false" outlineLevel="0" collapsed="false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customFormat="false" ht="15.75" hidden="false" customHeight="false" outlineLevel="0" collapsed="false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customFormat="false" ht="15.75" hidden="false" customHeight="false" outlineLevel="0" collapsed="false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customFormat="false" ht="15.75" hidden="false" customHeight="fals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customFormat="false" ht="15.75" hidden="false" customHeight="false" outlineLevel="0" collapsed="false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customFormat="false" ht="15.75" hidden="false" customHeight="false" outlineLevel="0" collapsed="false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customFormat="false" ht="15.75" hidden="false" customHeight="false" outlineLevel="0" collapsed="false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customFormat="false" ht="15.75" hidden="false" customHeight="false" outlineLevel="0" collapsed="false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customFormat="false" ht="15.75" hidden="false" customHeight="false" outlineLevel="0" collapsed="false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customFormat="false" ht="15.75" hidden="false" customHeight="false" outlineLevel="0" collapsed="false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customFormat="false" ht="15.75" hidden="false" customHeight="false" outlineLevel="0" collapsed="false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customFormat="false" ht="15.75" hidden="false" customHeight="false" outlineLevel="0" collapsed="false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customFormat="false" ht="15.75" hidden="false" customHeight="false" outlineLevel="0" collapsed="false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customFormat="false" ht="15.75" hidden="false" customHeight="false" outlineLevel="0" collapsed="false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customFormat="false" ht="15.75" hidden="false" customHeight="false" outlineLevel="0" collapsed="false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customFormat="false" ht="15.75" hidden="false" customHeight="false" outlineLevel="0" collapsed="false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customFormat="false" ht="15.75" hidden="false" customHeight="false" outlineLevel="0" collapsed="false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customFormat="false" ht="15.75" hidden="false" customHeight="false" outlineLevel="0" collapsed="false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customFormat="false" ht="15.75" hidden="false" customHeight="false" outlineLevel="0" collapsed="false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customFormat="false" ht="15.75" hidden="false" customHeight="false" outlineLevel="0" collapsed="false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customFormat="false" ht="15.75" hidden="false" customHeight="false" outlineLevel="0" collapsed="false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customFormat="false" ht="15.75" hidden="false" customHeight="false" outlineLevel="0" collapsed="false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customFormat="false" ht="15.75" hidden="false" customHeight="false" outlineLevel="0" collapsed="false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customFormat="false" ht="15.75" hidden="false" customHeight="false" outlineLevel="0" collapsed="false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customFormat="false" ht="15.75" hidden="false" customHeight="false" outlineLevel="0" collapsed="false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customFormat="false" ht="15.75" hidden="false" customHeight="false" outlineLevel="0" collapsed="false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customFormat="false" ht="15.75" hidden="false" customHeight="false" outlineLevel="0" collapsed="false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customFormat="false" ht="15.75" hidden="false" customHeight="false" outlineLevel="0" collapsed="false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customFormat="false" ht="15.75" hidden="false" customHeight="false" outlineLevel="0" collapsed="false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customFormat="false" ht="15.75" hidden="false" customHeight="false" outlineLevel="0" collapsed="false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customFormat="false" ht="15.75" hidden="false" customHeight="false" outlineLevel="0" collapsed="false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customFormat="false" ht="15.75" hidden="false" customHeight="false" outlineLevel="0" collapsed="false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customFormat="false" ht="15.75" hidden="false" customHeight="false" outlineLevel="0" collapsed="false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customFormat="false" ht="15.75" hidden="false" customHeight="false" outlineLevel="0" collapsed="false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customFormat="false" ht="15.75" hidden="false" customHeight="false" outlineLevel="0" collapsed="false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customFormat="false" ht="15.75" hidden="false" customHeight="false" outlineLevel="0" collapsed="false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customFormat="false" ht="15.75" hidden="false" customHeight="false" outlineLevel="0" collapsed="false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customFormat="false" ht="15.75" hidden="false" customHeight="false" outlineLevel="0" collapsed="false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customFormat="false" ht="15.75" hidden="false" customHeight="false" outlineLevel="0" collapsed="false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customFormat="false" ht="15.75" hidden="false" customHeight="false" outlineLevel="0" collapsed="false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customFormat="false" ht="15.75" hidden="false" customHeight="false" outlineLevel="0" collapsed="false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customFormat="false" ht="15.75" hidden="false" customHeight="false" outlineLevel="0" collapsed="false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customFormat="false" ht="15.75" hidden="false" customHeight="false" outlineLevel="0" collapsed="false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customFormat="false" ht="15.75" hidden="false" customHeight="false" outlineLevel="0" collapsed="false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customFormat="false" ht="15.75" hidden="false" customHeight="false" outlineLevel="0" collapsed="false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customFormat="false" ht="15.75" hidden="false" customHeight="false" outlineLevel="0" collapsed="false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customFormat="false" ht="15.75" hidden="false" customHeight="false" outlineLevel="0" collapsed="false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customFormat="false" ht="15.75" hidden="false" customHeight="false" outlineLevel="0" collapsed="false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customFormat="false" ht="15.75" hidden="false" customHeight="false" outlineLevel="0" collapsed="false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customFormat="false" ht="15.75" hidden="false" customHeight="false" outlineLevel="0" collapsed="false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customFormat="false" ht="15.75" hidden="false" customHeight="false" outlineLevel="0" collapsed="false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customFormat="false" ht="15.75" hidden="false" customHeight="false" outlineLevel="0" collapsed="false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customFormat="false" ht="15.75" hidden="false" customHeight="false" outlineLevel="0" collapsed="false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customFormat="false" ht="15.75" hidden="false" customHeight="false" outlineLevel="0" collapsed="false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customFormat="false" ht="15.75" hidden="false" customHeight="false" outlineLevel="0" collapsed="false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customFormat="false" ht="15.75" hidden="false" customHeight="false" outlineLevel="0" collapsed="false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customFormat="false" ht="15.75" hidden="false" customHeight="false" outlineLevel="0" collapsed="false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customFormat="false" ht="15.75" hidden="false" customHeight="false" outlineLevel="0" collapsed="false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customFormat="false" ht="15.75" hidden="false" customHeight="false" outlineLevel="0" collapsed="false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customFormat="false" ht="15.75" hidden="false" customHeight="false" outlineLevel="0" collapsed="false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customFormat="false" ht="15.75" hidden="false" customHeight="false" outlineLevel="0" collapsed="false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customFormat="false" ht="15.75" hidden="false" customHeight="false" outlineLevel="0" collapsed="false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customFormat="false" ht="15.75" hidden="false" customHeight="false" outlineLevel="0" collapsed="false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customFormat="false" ht="15.75" hidden="false" customHeight="false" outlineLevel="0" collapsed="false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customFormat="false" ht="15.75" hidden="false" customHeight="false" outlineLevel="0" collapsed="false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customFormat="false" ht="15.75" hidden="false" customHeight="false" outlineLevel="0" collapsed="false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customFormat="false" ht="15.75" hidden="false" customHeight="false" outlineLevel="0" collapsed="false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customFormat="false" ht="15.75" hidden="false" customHeight="false" outlineLevel="0" collapsed="false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customFormat="false" ht="15.75" hidden="false" customHeight="false" outlineLevel="0" collapsed="false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customFormat="false" ht="15.75" hidden="false" customHeight="false" outlineLevel="0" collapsed="false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customFormat="false" ht="15.75" hidden="false" customHeight="false" outlineLevel="0" collapsed="false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customFormat="false" ht="15.75" hidden="false" customHeight="false" outlineLevel="0" collapsed="false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customFormat="false" ht="15.75" hidden="false" customHeight="false" outlineLevel="0" collapsed="false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customFormat="false" ht="15.75" hidden="false" customHeight="false" outlineLevel="0" collapsed="false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customFormat="false" ht="15.75" hidden="false" customHeight="false" outlineLevel="0" collapsed="false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customFormat="false" ht="15.75" hidden="false" customHeight="false" outlineLevel="0" collapsed="false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customFormat="false" ht="15.75" hidden="false" customHeight="false" outlineLevel="0" collapsed="false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customFormat="false" ht="15.75" hidden="false" customHeight="false" outlineLevel="0" collapsed="false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customFormat="false" ht="15.75" hidden="false" customHeight="false" outlineLevel="0" collapsed="false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customFormat="false" ht="15.75" hidden="false" customHeight="false" outlineLevel="0" collapsed="false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customFormat="false" ht="15.75" hidden="false" customHeight="false" outlineLevel="0" collapsed="false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customFormat="false" ht="15.75" hidden="false" customHeight="false" outlineLevel="0" collapsed="false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customFormat="false" ht="15.75" hidden="false" customHeight="false" outlineLevel="0" collapsed="false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customFormat="false" ht="15.75" hidden="false" customHeight="false" outlineLevel="0" collapsed="false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customFormat="false" ht="15.75" hidden="false" customHeight="false" outlineLevel="0" collapsed="false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customFormat="false" ht="15.75" hidden="false" customHeight="false" outlineLevel="0" collapsed="false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customFormat="false" ht="15.75" hidden="false" customHeight="false" outlineLevel="0" collapsed="false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customFormat="false" ht="15.75" hidden="false" customHeight="false" outlineLevel="0" collapsed="false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customFormat="false" ht="15.75" hidden="false" customHeight="false" outlineLevel="0" collapsed="false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customFormat="false" ht="15.75" hidden="false" customHeight="false" outlineLevel="0" collapsed="false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customFormat="false" ht="15.75" hidden="false" customHeight="false" outlineLevel="0" collapsed="false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customFormat="false" ht="15.75" hidden="false" customHeight="false" outlineLevel="0" collapsed="false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customFormat="false" ht="15.75" hidden="false" customHeight="false" outlineLevel="0" collapsed="false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customFormat="false" ht="15.75" hidden="false" customHeight="false" outlineLevel="0" collapsed="false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customFormat="false" ht="15.75" hidden="false" customHeight="false" outlineLevel="0" collapsed="false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customFormat="false" ht="15.75" hidden="false" customHeight="false" outlineLevel="0" collapsed="false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customFormat="false" ht="15.75" hidden="false" customHeight="false" outlineLevel="0" collapsed="false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customFormat="false" ht="15.75" hidden="false" customHeight="false" outlineLevel="0" collapsed="false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customFormat="false" ht="15.75" hidden="false" customHeight="false" outlineLevel="0" collapsed="false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customFormat="false" ht="15.75" hidden="false" customHeight="false" outlineLevel="0" collapsed="false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customFormat="false" ht="15.75" hidden="false" customHeight="false" outlineLevel="0" collapsed="false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customFormat="false" ht="15.75" hidden="false" customHeight="false" outlineLevel="0" collapsed="false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customFormat="false" ht="15.75" hidden="false" customHeight="false" outlineLevel="0" collapsed="false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customFormat="false" ht="15.75" hidden="false" customHeight="false" outlineLevel="0" collapsed="false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customFormat="false" ht="15.75" hidden="false" customHeight="false" outlineLevel="0" collapsed="false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customFormat="false" ht="15.75" hidden="false" customHeight="false" outlineLevel="0" collapsed="false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customFormat="false" ht="15.75" hidden="false" customHeight="false" outlineLevel="0" collapsed="false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customFormat="false" ht="15.75" hidden="false" customHeight="false" outlineLevel="0" collapsed="false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customFormat="false" ht="15.75" hidden="false" customHeight="false" outlineLevel="0" collapsed="false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customFormat="false" ht="15.75" hidden="false" customHeight="false" outlineLevel="0" collapsed="false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customFormat="false" ht="15.75" hidden="false" customHeight="false" outlineLevel="0" collapsed="false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customFormat="false" ht="15.75" hidden="false" customHeight="false" outlineLevel="0" collapsed="false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customFormat="false" ht="15.75" hidden="false" customHeight="false" outlineLevel="0" collapsed="false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customFormat="false" ht="15.75" hidden="false" customHeight="false" outlineLevel="0" collapsed="false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customFormat="false" ht="15.75" hidden="false" customHeight="false" outlineLevel="0" collapsed="false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customFormat="false" ht="15.75" hidden="false" customHeight="false" outlineLevel="0" collapsed="false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customFormat="false" ht="15.75" hidden="false" customHeight="false" outlineLevel="0" collapsed="false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customFormat="false" ht="15.75" hidden="false" customHeight="false" outlineLevel="0" collapsed="false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customFormat="false" ht="15.75" hidden="false" customHeight="false" outlineLevel="0" collapsed="false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customFormat="false" ht="15.75" hidden="false" customHeight="false" outlineLevel="0" collapsed="false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customFormat="false" ht="15.75" hidden="false" customHeight="false" outlineLevel="0" collapsed="false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customFormat="false" ht="15.75" hidden="false" customHeight="false" outlineLevel="0" collapsed="false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customFormat="false" ht="15.75" hidden="false" customHeight="false" outlineLevel="0" collapsed="false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customFormat="false" ht="15.75" hidden="false" customHeight="false" outlineLevel="0" collapsed="false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customFormat="false" ht="15.75" hidden="false" customHeight="false" outlineLevel="0" collapsed="false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customFormat="false" ht="15.75" hidden="false" customHeight="false" outlineLevel="0" collapsed="false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customFormat="false" ht="15.75" hidden="false" customHeight="false" outlineLevel="0" collapsed="false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customFormat="false" ht="15.75" hidden="false" customHeight="false" outlineLevel="0" collapsed="false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customFormat="false" ht="15.75" hidden="false" customHeight="false" outlineLevel="0" collapsed="false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customFormat="false" ht="15.75" hidden="false" customHeight="false" outlineLevel="0" collapsed="false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customFormat="false" ht="15.75" hidden="false" customHeight="false" outlineLevel="0" collapsed="false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customFormat="false" ht="15.75" hidden="false" customHeight="false" outlineLevel="0" collapsed="false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customFormat="false" ht="15.75" hidden="false" customHeight="false" outlineLevel="0" collapsed="false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customFormat="false" ht="15.75" hidden="false" customHeight="false" outlineLevel="0" collapsed="false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customFormat="false" ht="15.75" hidden="false" customHeight="false" outlineLevel="0" collapsed="false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customFormat="false" ht="15.75" hidden="false" customHeight="false" outlineLevel="0" collapsed="false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customFormat="false" ht="15.75" hidden="false" customHeight="false" outlineLevel="0" collapsed="false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customFormat="false" ht="15.75" hidden="false" customHeight="false" outlineLevel="0" collapsed="false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customFormat="false" ht="15.75" hidden="false" customHeight="false" outlineLevel="0" collapsed="false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customFormat="false" ht="15.75" hidden="false" customHeight="false" outlineLevel="0" collapsed="false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customFormat="false" ht="15.75" hidden="false" customHeight="false" outlineLevel="0" collapsed="false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customFormat="false" ht="15.75" hidden="false" customHeight="false" outlineLevel="0" collapsed="false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customFormat="false" ht="15.75" hidden="false" customHeight="false" outlineLevel="0" collapsed="false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customFormat="false" ht="15.75" hidden="false" customHeight="false" outlineLevel="0" collapsed="false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customFormat="false" ht="15.75" hidden="false" customHeight="false" outlineLevel="0" collapsed="false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customFormat="false" ht="15.75" hidden="false" customHeight="false" outlineLevel="0" collapsed="false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customFormat="false" ht="15.75" hidden="false" customHeight="false" outlineLevel="0" collapsed="false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customFormat="false" ht="15.75" hidden="false" customHeight="false" outlineLevel="0" collapsed="false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customFormat="false" ht="15.75" hidden="false" customHeight="false" outlineLevel="0" collapsed="false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customFormat="false" ht="15.75" hidden="false" customHeight="false" outlineLevel="0" collapsed="false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customFormat="false" ht="15.75" hidden="false" customHeight="false" outlineLevel="0" collapsed="false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customFormat="false" ht="15.75" hidden="false" customHeight="false" outlineLevel="0" collapsed="false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customFormat="false" ht="15.75" hidden="false" customHeight="false" outlineLevel="0" collapsed="false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customFormat="false" ht="15.75" hidden="false" customHeight="false" outlineLevel="0" collapsed="false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customFormat="false" ht="15.75" hidden="false" customHeight="false" outlineLevel="0" collapsed="false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customFormat="false" ht="15.75" hidden="false" customHeight="false" outlineLevel="0" collapsed="false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customFormat="false" ht="15.75" hidden="false" customHeight="false" outlineLevel="0" collapsed="false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customFormat="false" ht="15.75" hidden="false" customHeight="false" outlineLevel="0" collapsed="false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customFormat="false" ht="15.75" hidden="false" customHeight="false" outlineLevel="0" collapsed="false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customFormat="false" ht="15.75" hidden="false" customHeight="false" outlineLevel="0" collapsed="false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customFormat="false" ht="15.75" hidden="false" customHeight="false" outlineLevel="0" collapsed="false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customFormat="false" ht="15.75" hidden="false" customHeight="false" outlineLevel="0" collapsed="false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customFormat="false" ht="15.75" hidden="false" customHeight="false" outlineLevel="0" collapsed="false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customFormat="false" ht="15.75" hidden="false" customHeight="false" outlineLevel="0" collapsed="false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customFormat="false" ht="15.75" hidden="false" customHeight="false" outlineLevel="0" collapsed="false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customFormat="false" ht="15.75" hidden="false" customHeight="false" outlineLevel="0" collapsed="false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customFormat="false" ht="15.75" hidden="false" customHeight="false" outlineLevel="0" collapsed="false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customFormat="false" ht="15.75" hidden="false" customHeight="false" outlineLevel="0" collapsed="false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customFormat="false" ht="15.75" hidden="false" customHeight="false" outlineLevel="0" collapsed="false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customFormat="false" ht="15.75" hidden="false" customHeight="false" outlineLevel="0" collapsed="false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customFormat="false" ht="15.75" hidden="false" customHeight="false" outlineLevel="0" collapsed="false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customFormat="false" ht="15.75" hidden="false" customHeight="false" outlineLevel="0" collapsed="false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customFormat="false" ht="15.75" hidden="false" customHeight="false" outlineLevel="0" collapsed="false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customFormat="false" ht="15.75" hidden="false" customHeight="false" outlineLevel="0" collapsed="false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customFormat="false" ht="15.75" hidden="false" customHeight="false" outlineLevel="0" collapsed="false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customFormat="false" ht="15.75" hidden="false" customHeight="false" outlineLevel="0" collapsed="false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customFormat="false" ht="15.75" hidden="false" customHeight="false" outlineLevel="0" collapsed="false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customFormat="false" ht="15.75" hidden="false" customHeight="false" outlineLevel="0" collapsed="false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customFormat="false" ht="15.75" hidden="false" customHeight="false" outlineLevel="0" collapsed="false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customFormat="false" ht="15.75" hidden="false" customHeight="false" outlineLevel="0" collapsed="false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customFormat="false" ht="15.75" hidden="false" customHeight="false" outlineLevel="0" collapsed="false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customFormat="false" ht="15.75" hidden="false" customHeight="false" outlineLevel="0" collapsed="false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customFormat="false" ht="15.75" hidden="false" customHeight="false" outlineLevel="0" collapsed="false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customFormat="false" ht="15.75" hidden="false" customHeight="false" outlineLevel="0" collapsed="false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customFormat="false" ht="15.75" hidden="false" customHeight="false" outlineLevel="0" collapsed="false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customFormat="false" ht="15.75" hidden="false" customHeight="false" outlineLevel="0" collapsed="false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customFormat="false" ht="15.75" hidden="false" customHeight="false" outlineLevel="0" collapsed="false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customFormat="false" ht="15.75" hidden="false" customHeight="false" outlineLevel="0" collapsed="false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customFormat="false" ht="15.75" hidden="false" customHeight="false" outlineLevel="0" collapsed="false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customFormat="false" ht="15.75" hidden="false" customHeight="false" outlineLevel="0" collapsed="false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customFormat="false" ht="15.75" hidden="false" customHeight="false" outlineLevel="0" collapsed="false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customFormat="false" ht="15.75" hidden="false" customHeight="false" outlineLevel="0" collapsed="false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customFormat="false" ht="15.75" hidden="false" customHeight="false" outlineLevel="0" collapsed="false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customFormat="false" ht="15.75" hidden="false" customHeight="false" outlineLevel="0" collapsed="false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customFormat="false" ht="15.75" hidden="false" customHeight="false" outlineLevel="0" collapsed="false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customFormat="false" ht="15.75" hidden="false" customHeight="false" outlineLevel="0" collapsed="false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customFormat="false" ht="15.75" hidden="false" customHeight="false" outlineLevel="0" collapsed="false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customFormat="false" ht="15.75" hidden="false" customHeight="false" outlineLevel="0" collapsed="false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customFormat="false" ht="15.75" hidden="false" customHeight="false" outlineLevel="0" collapsed="false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customFormat="false" ht="15.75" hidden="false" customHeight="false" outlineLevel="0" collapsed="false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customFormat="false" ht="15.75" hidden="false" customHeight="false" outlineLevel="0" collapsed="false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customFormat="false" ht="15.75" hidden="false" customHeight="false" outlineLevel="0" collapsed="false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customFormat="false" ht="15.75" hidden="false" customHeight="false" outlineLevel="0" collapsed="false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customFormat="false" ht="15.75" hidden="false" customHeight="false" outlineLevel="0" collapsed="false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customFormat="false" ht="15.75" hidden="false" customHeight="false" outlineLevel="0" collapsed="false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customFormat="false" ht="15.75" hidden="false" customHeight="false" outlineLevel="0" collapsed="false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customFormat="false" ht="15.75" hidden="false" customHeight="false" outlineLevel="0" collapsed="false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customFormat="false" ht="15.75" hidden="false" customHeight="false" outlineLevel="0" collapsed="false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customFormat="false" ht="15.75" hidden="false" customHeight="false" outlineLevel="0" collapsed="false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customFormat="false" ht="15.75" hidden="false" customHeight="false" outlineLevel="0" collapsed="false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customFormat="false" ht="15.75" hidden="false" customHeight="false" outlineLevel="0" collapsed="false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customFormat="false" ht="15.75" hidden="false" customHeight="false" outlineLevel="0" collapsed="false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customFormat="false" ht="15.75" hidden="false" customHeight="false" outlineLevel="0" collapsed="false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customFormat="false" ht="15.75" hidden="false" customHeight="false" outlineLevel="0" collapsed="false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customFormat="false" ht="15.75" hidden="false" customHeight="false" outlineLevel="0" collapsed="false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customFormat="false" ht="15.75" hidden="false" customHeight="false" outlineLevel="0" collapsed="false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customFormat="false" ht="15.75" hidden="false" customHeight="false" outlineLevel="0" collapsed="false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customFormat="false" ht="15.75" hidden="false" customHeight="false" outlineLevel="0" collapsed="false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customFormat="false" ht="15.75" hidden="false" customHeight="false" outlineLevel="0" collapsed="false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customFormat="false" ht="15.75" hidden="false" customHeight="false" outlineLevel="0" collapsed="false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customFormat="false" ht="15.75" hidden="false" customHeight="false" outlineLevel="0" collapsed="false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customFormat="false" ht="15.75" hidden="false" customHeight="false" outlineLevel="0" collapsed="false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customFormat="false" ht="15.75" hidden="false" customHeight="false" outlineLevel="0" collapsed="false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customFormat="false" ht="15.75" hidden="false" customHeight="false" outlineLevel="0" collapsed="false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customFormat="false" ht="15.75" hidden="false" customHeight="false" outlineLevel="0" collapsed="false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customFormat="false" ht="15.75" hidden="false" customHeight="false" outlineLevel="0" collapsed="false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customFormat="false" ht="15.75" hidden="false" customHeight="false" outlineLevel="0" collapsed="false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customFormat="false" ht="15.75" hidden="false" customHeight="false" outlineLevel="0" collapsed="false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customFormat="false" ht="15.75" hidden="false" customHeight="false" outlineLevel="0" collapsed="false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customFormat="false" ht="15.75" hidden="false" customHeight="false" outlineLevel="0" collapsed="false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customFormat="false" ht="15.75" hidden="false" customHeight="false" outlineLevel="0" collapsed="false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customFormat="false" ht="15.75" hidden="false" customHeight="false" outlineLevel="0" collapsed="false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customFormat="false" ht="15.75" hidden="false" customHeight="false" outlineLevel="0" collapsed="false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customFormat="false" ht="15.75" hidden="false" customHeight="false" outlineLevel="0" collapsed="false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customFormat="false" ht="15.75" hidden="false" customHeight="false" outlineLevel="0" collapsed="false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customFormat="false" ht="15.75" hidden="false" customHeight="false" outlineLevel="0" collapsed="false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customFormat="false" ht="15.75" hidden="false" customHeight="false" outlineLevel="0" collapsed="false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customFormat="false" ht="15.75" hidden="false" customHeight="false" outlineLevel="0" collapsed="false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customFormat="false" ht="15.75" hidden="false" customHeight="false" outlineLevel="0" collapsed="false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customFormat="false" ht="15.75" hidden="false" customHeight="false" outlineLevel="0" collapsed="false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customFormat="false" ht="15.75" hidden="false" customHeight="false" outlineLevel="0" collapsed="false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customFormat="false" ht="15.75" hidden="false" customHeight="false" outlineLevel="0" collapsed="false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customFormat="false" ht="15.75" hidden="false" customHeight="false" outlineLevel="0" collapsed="false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customFormat="false" ht="15.75" hidden="false" customHeight="false" outlineLevel="0" collapsed="false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customFormat="false" ht="15.75" hidden="false" customHeight="false" outlineLevel="0" collapsed="false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customFormat="false" ht="15.75" hidden="false" customHeight="false" outlineLevel="0" collapsed="false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customFormat="false" ht="15.75" hidden="false" customHeight="false" outlineLevel="0" collapsed="false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customFormat="false" ht="15.75" hidden="false" customHeight="false" outlineLevel="0" collapsed="false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customFormat="false" ht="15.75" hidden="false" customHeight="false" outlineLevel="0" collapsed="false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customFormat="false" ht="15.75" hidden="false" customHeight="false" outlineLevel="0" collapsed="false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customFormat="false" ht="15.75" hidden="false" customHeight="false" outlineLevel="0" collapsed="false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customFormat="false" ht="15.75" hidden="false" customHeight="false" outlineLevel="0" collapsed="false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customFormat="false" ht="15.75" hidden="false" customHeight="false" outlineLevel="0" collapsed="false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customFormat="false" ht="15.75" hidden="false" customHeight="false" outlineLevel="0" collapsed="false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customFormat="false" ht="15.75" hidden="false" customHeight="false" outlineLevel="0" collapsed="false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customFormat="false" ht="15.75" hidden="false" customHeight="false" outlineLevel="0" collapsed="false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customFormat="false" ht="15.75" hidden="false" customHeight="false" outlineLevel="0" collapsed="false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customFormat="false" ht="15.75" hidden="false" customHeight="false" outlineLevel="0" collapsed="false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customFormat="false" ht="15.75" hidden="false" customHeight="false" outlineLevel="0" collapsed="false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customFormat="false" ht="15.75" hidden="false" customHeight="false" outlineLevel="0" collapsed="false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customFormat="false" ht="15.75" hidden="false" customHeight="false" outlineLevel="0" collapsed="false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customFormat="false" ht="15.75" hidden="false" customHeight="false" outlineLevel="0" collapsed="false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customFormat="false" ht="15.75" hidden="false" customHeight="false" outlineLevel="0" collapsed="false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customFormat="false" ht="15.75" hidden="false" customHeight="false" outlineLevel="0" collapsed="false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customFormat="false" ht="15.75" hidden="false" customHeight="false" outlineLevel="0" collapsed="false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customFormat="false" ht="15.75" hidden="false" customHeight="false" outlineLevel="0" collapsed="false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customFormat="false" ht="15.75" hidden="false" customHeight="false" outlineLevel="0" collapsed="false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customFormat="false" ht="15.75" hidden="false" customHeight="false" outlineLevel="0" collapsed="false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customFormat="false" ht="15.75" hidden="false" customHeight="false" outlineLevel="0" collapsed="false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customFormat="false" ht="15.75" hidden="false" customHeight="false" outlineLevel="0" collapsed="false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customFormat="false" ht="15.75" hidden="false" customHeight="false" outlineLevel="0" collapsed="false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customFormat="false" ht="15.75" hidden="false" customHeight="false" outlineLevel="0" collapsed="false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customFormat="false" ht="15.75" hidden="false" customHeight="false" outlineLevel="0" collapsed="false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customFormat="false" ht="15.75" hidden="false" customHeight="false" outlineLevel="0" collapsed="false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customFormat="false" ht="15.75" hidden="false" customHeight="false" outlineLevel="0" collapsed="false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customFormat="false" ht="15.75" hidden="false" customHeight="false" outlineLevel="0" collapsed="false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customFormat="false" ht="15.75" hidden="false" customHeight="false" outlineLevel="0" collapsed="false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customFormat="false" ht="15.75" hidden="false" customHeight="false" outlineLevel="0" collapsed="false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customFormat="false" ht="15.75" hidden="false" customHeight="false" outlineLevel="0" collapsed="false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customFormat="false" ht="15.75" hidden="false" customHeight="false" outlineLevel="0" collapsed="false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customFormat="false" ht="15.75" hidden="false" customHeight="false" outlineLevel="0" collapsed="false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customFormat="false" ht="15.75" hidden="false" customHeight="false" outlineLevel="0" collapsed="false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customFormat="false" ht="15.75" hidden="false" customHeight="false" outlineLevel="0" collapsed="false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customFormat="false" ht="15.75" hidden="false" customHeight="false" outlineLevel="0" collapsed="false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customFormat="false" ht="15.75" hidden="false" customHeight="false" outlineLevel="0" collapsed="false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customFormat="false" ht="15.75" hidden="false" customHeight="false" outlineLevel="0" collapsed="false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customFormat="false" ht="15.75" hidden="false" customHeight="false" outlineLevel="0" collapsed="false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customFormat="false" ht="15.75" hidden="false" customHeight="false" outlineLevel="0" collapsed="false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customFormat="false" ht="15.75" hidden="false" customHeight="false" outlineLevel="0" collapsed="false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customFormat="false" ht="15.75" hidden="false" customHeight="false" outlineLevel="0" collapsed="false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customFormat="false" ht="15.75" hidden="false" customHeight="false" outlineLevel="0" collapsed="false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customFormat="false" ht="15.75" hidden="false" customHeight="false" outlineLevel="0" collapsed="false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customFormat="false" ht="15.75" hidden="false" customHeight="false" outlineLevel="0" collapsed="false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customFormat="false" ht="15.75" hidden="false" customHeight="false" outlineLevel="0" collapsed="false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customFormat="false" ht="15.75" hidden="false" customHeight="false" outlineLevel="0" collapsed="false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customFormat="false" ht="15.75" hidden="false" customHeight="false" outlineLevel="0" collapsed="false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customFormat="false" ht="15.75" hidden="false" customHeight="false" outlineLevel="0" collapsed="false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customFormat="false" ht="15.75" hidden="false" customHeight="false" outlineLevel="0" collapsed="false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customFormat="false" ht="15.75" hidden="false" customHeight="false" outlineLevel="0" collapsed="false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customFormat="false" ht="15.75" hidden="false" customHeight="false" outlineLevel="0" collapsed="false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customFormat="false" ht="15.75" hidden="false" customHeight="false" outlineLevel="0" collapsed="false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customFormat="false" ht="15.75" hidden="false" customHeight="false" outlineLevel="0" collapsed="false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customFormat="false" ht="15.75" hidden="false" customHeight="false" outlineLevel="0" collapsed="false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customFormat="false" ht="15.75" hidden="false" customHeight="false" outlineLevel="0" collapsed="false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customFormat="false" ht="15.75" hidden="false" customHeight="false" outlineLevel="0" collapsed="false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customFormat="false" ht="15.75" hidden="false" customHeight="false" outlineLevel="0" collapsed="false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customFormat="false" ht="15.75" hidden="false" customHeight="false" outlineLevel="0" collapsed="false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customFormat="false" ht="15.75" hidden="false" customHeight="false" outlineLevel="0" collapsed="false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customFormat="false" ht="15.75" hidden="false" customHeight="false" outlineLevel="0" collapsed="false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customFormat="false" ht="15.75" hidden="false" customHeight="false" outlineLevel="0" collapsed="false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customFormat="false" ht="15.75" hidden="false" customHeight="false" outlineLevel="0" collapsed="false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customFormat="false" ht="15.75" hidden="false" customHeight="false" outlineLevel="0" collapsed="false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customFormat="false" ht="15.75" hidden="false" customHeight="false" outlineLevel="0" collapsed="false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customFormat="false" ht="15.75" hidden="false" customHeight="false" outlineLevel="0" collapsed="false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customFormat="false" ht="15.75" hidden="false" customHeight="false" outlineLevel="0" collapsed="false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customFormat="false" ht="15.75" hidden="false" customHeight="false" outlineLevel="0" collapsed="false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customFormat="false" ht="15.75" hidden="false" customHeight="false" outlineLevel="0" collapsed="false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customFormat="false" ht="15.75" hidden="false" customHeight="false" outlineLevel="0" collapsed="false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customFormat="false" ht="15.75" hidden="false" customHeight="false" outlineLevel="0" collapsed="false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customFormat="false" ht="15.75" hidden="false" customHeight="false" outlineLevel="0" collapsed="false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customFormat="false" ht="15.75" hidden="false" customHeight="false" outlineLevel="0" collapsed="false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customFormat="false" ht="15.75" hidden="false" customHeight="false" outlineLevel="0" collapsed="false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customFormat="false" ht="15.75" hidden="false" customHeight="false" outlineLevel="0" collapsed="false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customFormat="false" ht="15.75" hidden="false" customHeight="false" outlineLevel="0" collapsed="false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customFormat="false" ht="15.75" hidden="false" customHeight="false" outlineLevel="0" collapsed="false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customFormat="false" ht="15.75" hidden="false" customHeight="false" outlineLevel="0" collapsed="false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customFormat="false" ht="15.75" hidden="false" customHeight="false" outlineLevel="0" collapsed="false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customFormat="false" ht="15.75" hidden="false" customHeight="false" outlineLevel="0" collapsed="false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customFormat="false" ht="15.75" hidden="false" customHeight="false" outlineLevel="0" collapsed="false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customFormat="false" ht="15.75" hidden="false" customHeight="false" outlineLevel="0" collapsed="false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customFormat="false" ht="15.75" hidden="false" customHeight="false" outlineLevel="0" collapsed="false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customFormat="false" ht="15.75" hidden="false" customHeight="false" outlineLevel="0" collapsed="false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customFormat="false" ht="15.75" hidden="false" customHeight="false" outlineLevel="0" collapsed="false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customFormat="false" ht="15.75" hidden="false" customHeight="false" outlineLevel="0" collapsed="false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customFormat="false" ht="15.75" hidden="false" customHeight="false" outlineLevel="0" collapsed="false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customFormat="false" ht="15.75" hidden="false" customHeight="false" outlineLevel="0" collapsed="false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customFormat="false" ht="15.75" hidden="false" customHeight="false" outlineLevel="0" collapsed="false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customFormat="false" ht="15.75" hidden="false" customHeight="false" outlineLevel="0" collapsed="false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customFormat="false" ht="15.75" hidden="false" customHeight="false" outlineLevel="0" collapsed="false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customFormat="false" ht="15.75" hidden="false" customHeight="false" outlineLevel="0" collapsed="false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customFormat="false" ht="15.75" hidden="false" customHeight="false" outlineLevel="0" collapsed="false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customFormat="false" ht="15.75" hidden="false" customHeight="false" outlineLevel="0" collapsed="false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customFormat="false" ht="15.75" hidden="false" customHeight="false" outlineLevel="0" collapsed="false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customFormat="false" ht="15.75" hidden="false" customHeight="false" outlineLevel="0" collapsed="false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customFormat="false" ht="15.75" hidden="false" customHeight="false" outlineLevel="0" collapsed="false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customFormat="false" ht="15.75" hidden="false" customHeight="false" outlineLevel="0" collapsed="false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customFormat="false" ht="15.75" hidden="false" customHeight="false" outlineLevel="0" collapsed="false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customFormat="false" ht="15.75" hidden="false" customHeight="false" outlineLevel="0" collapsed="false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customFormat="false" ht="15.75" hidden="false" customHeight="false" outlineLevel="0" collapsed="false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customFormat="false" ht="15.75" hidden="false" customHeight="false" outlineLevel="0" collapsed="false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customFormat="false" ht="15.75" hidden="false" customHeight="false" outlineLevel="0" collapsed="false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customFormat="false" ht="15.75" hidden="false" customHeight="false" outlineLevel="0" collapsed="false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customFormat="false" ht="15.75" hidden="false" customHeight="false" outlineLevel="0" collapsed="false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customFormat="false" ht="15.75" hidden="false" customHeight="false" outlineLevel="0" collapsed="false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customFormat="false" ht="15.75" hidden="false" customHeight="false" outlineLevel="0" collapsed="false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customFormat="false" ht="15.75" hidden="false" customHeight="false" outlineLevel="0" collapsed="false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customFormat="false" ht="15.75" hidden="false" customHeight="false" outlineLevel="0" collapsed="false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customFormat="false" ht="15.75" hidden="false" customHeight="false" outlineLevel="0" collapsed="false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customFormat="false" ht="15.75" hidden="false" customHeight="false" outlineLevel="0" collapsed="false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customFormat="false" ht="15.75" hidden="false" customHeight="false" outlineLevel="0" collapsed="false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customFormat="false" ht="15.75" hidden="false" customHeight="false" outlineLevel="0" collapsed="false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customFormat="false" ht="15.75" hidden="false" customHeight="false" outlineLevel="0" collapsed="false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customFormat="false" ht="15.75" hidden="false" customHeight="false" outlineLevel="0" collapsed="false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customFormat="false" ht="15.75" hidden="false" customHeight="false" outlineLevel="0" collapsed="false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customFormat="false" ht="15.75" hidden="false" customHeight="false" outlineLevel="0" collapsed="false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customFormat="false" ht="15.75" hidden="false" customHeight="false" outlineLevel="0" collapsed="false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customFormat="false" ht="15.75" hidden="false" customHeight="false" outlineLevel="0" collapsed="false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customFormat="false" ht="15.75" hidden="false" customHeight="false" outlineLevel="0" collapsed="false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customFormat="false" ht="15.75" hidden="false" customHeight="false" outlineLevel="0" collapsed="false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customFormat="false" ht="15.75" hidden="false" customHeight="false" outlineLevel="0" collapsed="false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customFormat="false" ht="15.75" hidden="false" customHeight="false" outlineLevel="0" collapsed="false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customFormat="false" ht="15.75" hidden="false" customHeight="false" outlineLevel="0" collapsed="false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customFormat="false" ht="15.75" hidden="false" customHeight="false" outlineLevel="0" collapsed="false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customFormat="false" ht="15.75" hidden="false" customHeight="false" outlineLevel="0" collapsed="false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customFormat="false" ht="15.75" hidden="false" customHeight="false" outlineLevel="0" collapsed="false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customFormat="false" ht="15.75" hidden="false" customHeight="false" outlineLevel="0" collapsed="false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customFormat="false" ht="15.75" hidden="false" customHeight="false" outlineLevel="0" collapsed="false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customFormat="false" ht="15.75" hidden="false" customHeight="false" outlineLevel="0" collapsed="false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customFormat="false" ht="15.75" hidden="false" customHeight="false" outlineLevel="0" collapsed="false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customFormat="false" ht="15.75" hidden="false" customHeight="false" outlineLevel="0" collapsed="false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customFormat="false" ht="15.75" hidden="false" customHeight="false" outlineLevel="0" collapsed="false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customFormat="false" ht="15.75" hidden="false" customHeight="false" outlineLevel="0" collapsed="false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customFormat="false" ht="15.75" hidden="false" customHeight="false" outlineLevel="0" collapsed="false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customFormat="false" ht="15.75" hidden="false" customHeight="false" outlineLevel="0" collapsed="false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customFormat="false" ht="15.75" hidden="false" customHeight="false" outlineLevel="0" collapsed="false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customFormat="false" ht="15.75" hidden="false" customHeight="false" outlineLevel="0" collapsed="false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customFormat="false" ht="15.75" hidden="false" customHeight="false" outlineLevel="0" collapsed="false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customFormat="false" ht="15.75" hidden="false" customHeight="false" outlineLevel="0" collapsed="false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customFormat="false" ht="15.75" hidden="false" customHeight="false" outlineLevel="0" collapsed="false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customFormat="false" ht="15.75" hidden="false" customHeight="false" outlineLevel="0" collapsed="false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customFormat="false" ht="15.75" hidden="false" customHeight="false" outlineLevel="0" collapsed="false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customFormat="false" ht="15.75" hidden="false" customHeight="false" outlineLevel="0" collapsed="false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customFormat="false" ht="15.75" hidden="false" customHeight="false" outlineLevel="0" collapsed="false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customFormat="false" ht="15.75" hidden="false" customHeight="false" outlineLevel="0" collapsed="false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customFormat="false" ht="15.75" hidden="false" customHeight="false" outlineLevel="0" collapsed="false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customFormat="false" ht="15.75" hidden="false" customHeight="false" outlineLevel="0" collapsed="false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customFormat="false" ht="15.75" hidden="false" customHeight="false" outlineLevel="0" collapsed="false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customFormat="false" ht="15.75" hidden="false" customHeight="false" outlineLevel="0" collapsed="false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customFormat="false" ht="15.75" hidden="false" customHeight="false" outlineLevel="0" collapsed="false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customFormat="false" ht="15.75" hidden="false" customHeight="false" outlineLevel="0" collapsed="false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customFormat="false" ht="15.75" hidden="false" customHeight="false" outlineLevel="0" collapsed="false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customFormat="false" ht="15.75" hidden="false" customHeight="false" outlineLevel="0" collapsed="false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customFormat="false" ht="15.75" hidden="false" customHeight="false" outlineLevel="0" collapsed="false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customFormat="false" ht="15.75" hidden="false" customHeight="false" outlineLevel="0" collapsed="false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customFormat="false" ht="15.75" hidden="false" customHeight="false" outlineLevel="0" collapsed="false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customFormat="false" ht="15.75" hidden="false" customHeight="false" outlineLevel="0" collapsed="false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customFormat="false" ht="15.75" hidden="false" customHeight="false" outlineLevel="0" collapsed="false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customFormat="false" ht="15.75" hidden="false" customHeight="false" outlineLevel="0" collapsed="false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customFormat="false" ht="15.75" hidden="false" customHeight="false" outlineLevel="0" collapsed="false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customFormat="false" ht="15.75" hidden="false" customHeight="false" outlineLevel="0" collapsed="false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customFormat="false" ht="15.75" hidden="false" customHeight="false" outlineLevel="0" collapsed="false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customFormat="false" ht="15.75" hidden="false" customHeight="false" outlineLevel="0" collapsed="false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customFormat="false" ht="15.75" hidden="false" customHeight="false" outlineLevel="0" collapsed="false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customFormat="false" ht="15.75" hidden="false" customHeight="false" outlineLevel="0" collapsed="false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customFormat="false" ht="15.75" hidden="false" customHeight="false" outlineLevel="0" collapsed="false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customFormat="false" ht="15.75" hidden="false" customHeight="false" outlineLevel="0" collapsed="false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customFormat="false" ht="15.75" hidden="false" customHeight="false" outlineLevel="0" collapsed="false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customFormat="false" ht="15.75" hidden="false" customHeight="false" outlineLevel="0" collapsed="false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customFormat="false" ht="15.75" hidden="false" customHeight="false" outlineLevel="0" collapsed="false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customFormat="false" ht="15.75" hidden="false" customHeight="false" outlineLevel="0" collapsed="false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customFormat="false" ht="15.75" hidden="false" customHeight="false" outlineLevel="0" collapsed="false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customFormat="false" ht="15.75" hidden="false" customHeight="false" outlineLevel="0" collapsed="false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customFormat="false" ht="15.75" hidden="false" customHeight="false" outlineLevel="0" collapsed="false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customFormat="false" ht="15.75" hidden="false" customHeight="false" outlineLevel="0" collapsed="false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customFormat="false" ht="15.75" hidden="false" customHeight="false" outlineLevel="0" collapsed="false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customFormat="false" ht="15.75" hidden="false" customHeight="false" outlineLevel="0" collapsed="false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customFormat="false" ht="15.75" hidden="false" customHeight="false" outlineLevel="0" collapsed="false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customFormat="false" ht="15.75" hidden="false" customHeight="false" outlineLevel="0" collapsed="false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customFormat="false" ht="15.75" hidden="false" customHeight="false" outlineLevel="0" collapsed="false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customFormat="false" ht="15.75" hidden="false" customHeight="false" outlineLevel="0" collapsed="false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customFormat="false" ht="15.75" hidden="false" customHeight="false" outlineLevel="0" collapsed="false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customFormat="false" ht="15.75" hidden="false" customHeight="false" outlineLevel="0" collapsed="false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customFormat="false" ht="15.75" hidden="false" customHeight="false" outlineLevel="0" collapsed="false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customFormat="false" ht="15.75" hidden="false" customHeight="false" outlineLevel="0" collapsed="false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customFormat="false" ht="15.75" hidden="false" customHeight="false" outlineLevel="0" collapsed="false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customFormat="false" ht="15.75" hidden="false" customHeight="false" outlineLevel="0" collapsed="false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customFormat="false" ht="15.75" hidden="false" customHeight="false" outlineLevel="0" collapsed="false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customFormat="false" ht="15.75" hidden="false" customHeight="false" outlineLevel="0" collapsed="false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customFormat="false" ht="15.75" hidden="false" customHeight="false" outlineLevel="0" collapsed="false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customFormat="false" ht="15.75" hidden="false" customHeight="false" outlineLevel="0" collapsed="false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customFormat="false" ht="15.75" hidden="false" customHeight="false" outlineLevel="0" collapsed="false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customFormat="false" ht="15.75" hidden="false" customHeight="false" outlineLevel="0" collapsed="false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customFormat="false" ht="15.75" hidden="false" customHeight="false" outlineLevel="0" collapsed="false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customFormat="false" ht="15.75" hidden="false" customHeight="false" outlineLevel="0" collapsed="false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customFormat="false" ht="15.75" hidden="false" customHeight="false" outlineLevel="0" collapsed="false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customFormat="false" ht="15.75" hidden="false" customHeight="false" outlineLevel="0" collapsed="false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customFormat="false" ht="15.75" hidden="false" customHeight="false" outlineLevel="0" collapsed="false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customFormat="false" ht="15.75" hidden="false" customHeight="false" outlineLevel="0" collapsed="false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customFormat="false" ht="15.75" hidden="false" customHeight="false" outlineLevel="0" collapsed="false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customFormat="false" ht="15.75" hidden="false" customHeight="false" outlineLevel="0" collapsed="false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customFormat="false" ht="15.75" hidden="false" customHeight="false" outlineLevel="0" collapsed="false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customFormat="false" ht="15.75" hidden="false" customHeight="false" outlineLevel="0" collapsed="false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customFormat="false" ht="15.75" hidden="false" customHeight="false" outlineLevel="0" collapsed="false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customFormat="false" ht="15.75" hidden="false" customHeight="false" outlineLevel="0" collapsed="false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customFormat="false" ht="15.75" hidden="false" customHeight="false" outlineLevel="0" collapsed="false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customFormat="false" ht="15.75" hidden="false" customHeight="false" outlineLevel="0" collapsed="false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customFormat="false" ht="15.75" hidden="false" customHeight="false" outlineLevel="0" collapsed="false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customFormat="false" ht="15.75" hidden="false" customHeight="false" outlineLevel="0" collapsed="false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customFormat="false" ht="15.75" hidden="false" customHeight="false" outlineLevel="0" collapsed="false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customFormat="false" ht="15.75" hidden="false" customHeight="false" outlineLevel="0" collapsed="false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customFormat="false" ht="15.75" hidden="false" customHeight="false" outlineLevel="0" collapsed="false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customFormat="false" ht="15.75" hidden="false" customHeight="false" outlineLevel="0" collapsed="false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customFormat="false" ht="15.75" hidden="false" customHeight="false" outlineLevel="0" collapsed="false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customFormat="false" ht="15.75" hidden="false" customHeight="false" outlineLevel="0" collapsed="false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customFormat="false" ht="15.75" hidden="false" customHeight="false" outlineLevel="0" collapsed="false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customFormat="false" ht="15.75" hidden="false" customHeight="false" outlineLevel="0" collapsed="false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customFormat="false" ht="15.75" hidden="false" customHeight="false" outlineLevel="0" collapsed="false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customFormat="false" ht="15.75" hidden="false" customHeight="false" outlineLevel="0" collapsed="false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customFormat="false" ht="15.75" hidden="false" customHeight="false" outlineLevel="0" collapsed="false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customFormat="false" ht="15.75" hidden="false" customHeight="false" outlineLevel="0" collapsed="false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customFormat="false" ht="15.75" hidden="false" customHeight="false" outlineLevel="0" collapsed="false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customFormat="false" ht="15.75" hidden="false" customHeight="false" outlineLevel="0" collapsed="false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customFormat="false" ht="15.75" hidden="false" customHeight="false" outlineLevel="0" collapsed="false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customFormat="false" ht="15.75" hidden="false" customHeight="false" outlineLevel="0" collapsed="false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customFormat="false" ht="15.75" hidden="false" customHeight="false" outlineLevel="0" collapsed="false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customFormat="false" ht="15.75" hidden="false" customHeight="false" outlineLevel="0" collapsed="false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customFormat="false" ht="15.75" hidden="false" customHeight="false" outlineLevel="0" collapsed="false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customFormat="false" ht="15.75" hidden="false" customHeight="false" outlineLevel="0" collapsed="false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customFormat="false" ht="15.75" hidden="false" customHeight="false" outlineLevel="0" collapsed="false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customFormat="false" ht="15.75" hidden="false" customHeight="false" outlineLevel="0" collapsed="false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customFormat="false" ht="15.75" hidden="false" customHeight="false" outlineLevel="0" collapsed="false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customFormat="false" ht="15.75" hidden="false" customHeight="false" outlineLevel="0" collapsed="false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customFormat="false" ht="15.75" hidden="false" customHeight="false" outlineLevel="0" collapsed="false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customFormat="false" ht="15.75" hidden="false" customHeight="false" outlineLevel="0" collapsed="false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customFormat="false" ht="15.75" hidden="false" customHeight="false" outlineLevel="0" collapsed="false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customFormat="false" ht="15.75" hidden="false" customHeight="false" outlineLevel="0" collapsed="false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customFormat="false" ht="15.75" hidden="false" customHeight="false" outlineLevel="0" collapsed="false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customFormat="false" ht="15.75" hidden="false" customHeight="false" outlineLevel="0" collapsed="false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customFormat="false" ht="15.75" hidden="false" customHeight="false" outlineLevel="0" collapsed="false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customFormat="false" ht="15.75" hidden="false" customHeight="false" outlineLevel="0" collapsed="false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customFormat="false" ht="15.75" hidden="false" customHeight="false" outlineLevel="0" collapsed="false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customFormat="false" ht="15.75" hidden="false" customHeight="false" outlineLevel="0" collapsed="false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customFormat="false" ht="15.75" hidden="false" customHeight="false" outlineLevel="0" collapsed="false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customFormat="false" ht="15.75" hidden="false" customHeight="false" outlineLevel="0" collapsed="false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customFormat="false" ht="15.75" hidden="false" customHeight="false" outlineLevel="0" collapsed="false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customFormat="false" ht="15.75" hidden="false" customHeight="false" outlineLevel="0" collapsed="false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customFormat="false" ht="15.75" hidden="false" customHeight="false" outlineLevel="0" collapsed="false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customFormat="false" ht="15.75" hidden="false" customHeight="false" outlineLevel="0" collapsed="false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customFormat="false" ht="15.75" hidden="false" customHeight="false" outlineLevel="0" collapsed="false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customFormat="false" ht="15.75" hidden="false" customHeight="false" outlineLevel="0" collapsed="false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customFormat="false" ht="15.75" hidden="false" customHeight="false" outlineLevel="0" collapsed="false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customFormat="false" ht="15.75" hidden="false" customHeight="false" outlineLevel="0" collapsed="false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customFormat="false" ht="15.75" hidden="false" customHeight="false" outlineLevel="0" collapsed="false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customFormat="false" ht="15.75" hidden="false" customHeight="false" outlineLevel="0" collapsed="false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customFormat="false" ht="15.75" hidden="false" customHeight="false" outlineLevel="0" collapsed="false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customFormat="false" ht="15.75" hidden="false" customHeight="false" outlineLevel="0" collapsed="false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customFormat="false" ht="15.75" hidden="false" customHeight="false" outlineLevel="0" collapsed="false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customFormat="false" ht="15.75" hidden="false" customHeight="false" outlineLevel="0" collapsed="false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customFormat="false" ht="15.75" hidden="false" customHeight="false" outlineLevel="0" collapsed="false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customFormat="false" ht="15.75" hidden="false" customHeight="false" outlineLevel="0" collapsed="false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customFormat="false" ht="15.75" hidden="false" customHeight="false" outlineLevel="0" collapsed="false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customFormat="false" ht="15.75" hidden="false" customHeight="false" outlineLevel="0" collapsed="false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customFormat="false" ht="15.75" hidden="false" customHeight="false" outlineLevel="0" collapsed="false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customFormat="false" ht="15.75" hidden="false" customHeight="false" outlineLevel="0" collapsed="false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customFormat="false" ht="15.75" hidden="false" customHeight="false" outlineLevel="0" collapsed="false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customFormat="false" ht="15.75" hidden="false" customHeight="false" outlineLevel="0" collapsed="false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customFormat="false" ht="15.75" hidden="false" customHeight="false" outlineLevel="0" collapsed="false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customFormat="false" ht="15.75" hidden="false" customHeight="false" outlineLevel="0" collapsed="false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customFormat="false" ht="15.75" hidden="false" customHeight="false" outlineLevel="0" collapsed="false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customFormat="false" ht="15.75" hidden="false" customHeight="false" outlineLevel="0" collapsed="false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customFormat="false" ht="15.75" hidden="false" customHeight="false" outlineLevel="0" collapsed="false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customFormat="false" ht="15.75" hidden="false" customHeight="false" outlineLevel="0" collapsed="false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customFormat="false" ht="15.75" hidden="false" customHeight="false" outlineLevel="0" collapsed="false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customFormat="false" ht="15.75" hidden="false" customHeight="false" outlineLevel="0" collapsed="false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customFormat="false" ht="15.75" hidden="false" customHeight="false" outlineLevel="0" collapsed="false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customFormat="false" ht="15.75" hidden="false" customHeight="false" outlineLevel="0" collapsed="false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customFormat="false" ht="15.75" hidden="false" customHeight="false" outlineLevel="0" collapsed="false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customFormat="false" ht="15.75" hidden="false" customHeight="false" outlineLevel="0" collapsed="false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customFormat="false" ht="15.75" hidden="false" customHeight="false" outlineLevel="0" collapsed="false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customFormat="false" ht="15.75" hidden="false" customHeight="false" outlineLevel="0" collapsed="false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customFormat="false" ht="15.75" hidden="false" customHeight="false" outlineLevel="0" collapsed="false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customFormat="false" ht="15.75" hidden="false" customHeight="false" outlineLevel="0" collapsed="false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customFormat="false" ht="15.75" hidden="false" customHeight="false" outlineLevel="0" collapsed="false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customFormat="false" ht="15.75" hidden="false" customHeight="false" outlineLevel="0" collapsed="false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customFormat="false" ht="15.75" hidden="false" customHeight="false" outlineLevel="0" collapsed="false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customFormat="false" ht="15.75" hidden="false" customHeight="false" outlineLevel="0" collapsed="false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customFormat="false" ht="15.75" hidden="false" customHeight="false" outlineLevel="0" collapsed="false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customFormat="false" ht="15.75" hidden="false" customHeight="false" outlineLevel="0" collapsed="false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customFormat="false" ht="15.75" hidden="false" customHeight="false" outlineLevel="0" collapsed="false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customFormat="false" ht="15.75" hidden="false" customHeight="false" outlineLevel="0" collapsed="false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customFormat="false" ht="15.75" hidden="false" customHeight="false" outlineLevel="0" collapsed="false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customFormat="false" ht="15.75" hidden="false" customHeight="false" outlineLevel="0" collapsed="false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customFormat="false" ht="15.75" hidden="false" customHeight="false" outlineLevel="0" collapsed="false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customFormat="false" ht="15.75" hidden="false" customHeight="false" outlineLevel="0" collapsed="false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customFormat="false" ht="15.75" hidden="false" customHeight="false" outlineLevel="0" collapsed="false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customFormat="false" ht="15.75" hidden="false" customHeight="false" outlineLevel="0" collapsed="false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customFormat="false" ht="15.75" hidden="false" customHeight="false" outlineLevel="0" collapsed="false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customFormat="false" ht="15.75" hidden="false" customHeight="false" outlineLevel="0" collapsed="false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customFormat="false" ht="15.75" hidden="false" customHeight="false" outlineLevel="0" collapsed="false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customFormat="false" ht="15.75" hidden="false" customHeight="false" outlineLevel="0" collapsed="false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customFormat="false" ht="15.75" hidden="false" customHeight="false" outlineLevel="0" collapsed="false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customFormat="false" ht="15.75" hidden="false" customHeight="false" outlineLevel="0" collapsed="false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customFormat="false" ht="15.75" hidden="false" customHeight="false" outlineLevel="0" collapsed="false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customFormat="false" ht="15.75" hidden="false" customHeight="false" outlineLevel="0" collapsed="false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customFormat="false" ht="15.75" hidden="false" customHeight="false" outlineLevel="0" collapsed="false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customFormat="false" ht="15.75" hidden="false" customHeight="false" outlineLevel="0" collapsed="false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customFormat="false" ht="15.75" hidden="false" customHeight="false" outlineLevel="0" collapsed="false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customFormat="false" ht="15.75" hidden="false" customHeight="false" outlineLevel="0" collapsed="false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customFormat="false" ht="15.75" hidden="false" customHeight="false" outlineLevel="0" collapsed="false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customFormat="false" ht="15.75" hidden="false" customHeight="false" outlineLevel="0" collapsed="false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customFormat="false" ht="15.75" hidden="false" customHeight="false" outlineLevel="0" collapsed="false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customFormat="false" ht="15.75" hidden="false" customHeight="false" outlineLevel="0" collapsed="false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customFormat="false" ht="15.75" hidden="false" customHeight="false" outlineLevel="0" collapsed="false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customFormat="false" ht="15.75" hidden="false" customHeight="false" outlineLevel="0" collapsed="false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customFormat="false" ht="15.75" hidden="false" customHeight="false" outlineLevel="0" collapsed="false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customFormat="false" ht="15.75" hidden="false" customHeight="false" outlineLevel="0" collapsed="false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customFormat="false" ht="15.75" hidden="false" customHeight="false" outlineLevel="0" collapsed="false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customFormat="false" ht="15.75" hidden="false" customHeight="false" outlineLevel="0" collapsed="false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customFormat="false" ht="15.75" hidden="false" customHeight="false" outlineLevel="0" collapsed="false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customFormat="false" ht="15.75" hidden="false" customHeight="false" outlineLevel="0" collapsed="false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customFormat="false" ht="15.75" hidden="false" customHeight="false" outlineLevel="0" collapsed="false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customFormat="false" ht="15.75" hidden="false" customHeight="false" outlineLevel="0" collapsed="false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customFormat="false" ht="15.75" hidden="false" customHeight="false" outlineLevel="0" collapsed="false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customFormat="false" ht="15.75" hidden="false" customHeight="false" outlineLevel="0" collapsed="false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customFormat="false" ht="15.75" hidden="false" customHeight="false" outlineLevel="0" collapsed="false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customFormat="false" ht="15.75" hidden="false" customHeight="false" outlineLevel="0" collapsed="false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customFormat="false" ht="15.75" hidden="false" customHeight="false" outlineLevel="0" collapsed="false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customFormat="false" ht="15.75" hidden="false" customHeight="false" outlineLevel="0" collapsed="false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customFormat="false" ht="15.75" hidden="false" customHeight="false" outlineLevel="0" collapsed="false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customFormat="false" ht="15.75" hidden="false" customHeight="false" outlineLevel="0" collapsed="false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customFormat="false" ht="15.75" hidden="false" customHeight="false" outlineLevel="0" collapsed="false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customFormat="false" ht="15.75" hidden="false" customHeight="false" outlineLevel="0" collapsed="false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customFormat="false" ht="15.75" hidden="false" customHeight="false" outlineLevel="0" collapsed="false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customFormat="false" ht="15.75" hidden="false" customHeight="false" outlineLevel="0" collapsed="false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customFormat="false" ht="15.75" hidden="false" customHeight="false" outlineLevel="0" collapsed="false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customFormat="false" ht="15.75" hidden="false" customHeight="false" outlineLevel="0" collapsed="false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customFormat="false" ht="15.75" hidden="false" customHeight="false" outlineLevel="0" collapsed="false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customFormat="false" ht="15.75" hidden="false" customHeight="false" outlineLevel="0" collapsed="false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customFormat="false" ht="15.75" hidden="false" customHeight="false" outlineLevel="0" collapsed="false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customFormat="false" ht="15.75" hidden="false" customHeight="false" outlineLevel="0" collapsed="false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customFormat="false" ht="15.75" hidden="false" customHeight="false" outlineLevel="0" collapsed="false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customFormat="false" ht="15.75" hidden="false" customHeight="false" outlineLevel="0" collapsed="false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customFormat="false" ht="15.75" hidden="false" customHeight="false" outlineLevel="0" collapsed="false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customFormat="false" ht="15.75" hidden="false" customHeight="false" outlineLevel="0" collapsed="false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customFormat="false" ht="15.75" hidden="false" customHeight="false" outlineLevel="0" collapsed="false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customFormat="false" ht="15.75" hidden="false" customHeight="false" outlineLevel="0" collapsed="false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customFormat="false" ht="15.75" hidden="false" customHeight="false" outlineLevel="0" collapsed="false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customFormat="false" ht="15.75" hidden="false" customHeight="false" outlineLevel="0" collapsed="false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customFormat="false" ht="15.75" hidden="false" customHeight="false" outlineLevel="0" collapsed="false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customFormat="false" ht="15.75" hidden="false" customHeight="false" outlineLevel="0" collapsed="false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customFormat="false" ht="15.75" hidden="false" customHeight="false" outlineLevel="0" collapsed="false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customFormat="false" ht="15.75" hidden="false" customHeight="false" outlineLevel="0" collapsed="false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customFormat="false" ht="15.75" hidden="false" customHeight="false" outlineLevel="0" collapsed="false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customFormat="false" ht="15.75" hidden="false" customHeight="false" outlineLevel="0" collapsed="false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customFormat="false" ht="15.75" hidden="false" customHeight="false" outlineLevel="0" collapsed="false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customFormat="false" ht="15.75" hidden="false" customHeight="false" outlineLevel="0" collapsed="false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customFormat="false" ht="15.75" hidden="false" customHeight="false" outlineLevel="0" collapsed="false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customFormat="false" ht="15.75" hidden="false" customHeight="false" outlineLevel="0" collapsed="false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customFormat="false" ht="15.75" hidden="false" customHeight="false" outlineLevel="0" collapsed="false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customFormat="false" ht="15.75" hidden="false" customHeight="false" outlineLevel="0" collapsed="false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customFormat="false" ht="15.75" hidden="false" customHeight="false" outlineLevel="0" collapsed="false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customFormat="false" ht="15.75" hidden="false" customHeight="false" outlineLevel="0" collapsed="false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customFormat="false" ht="15.75" hidden="false" customHeight="false" outlineLevel="0" collapsed="false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customFormat="false" ht="15.75" hidden="false" customHeight="false" outlineLevel="0" collapsed="false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customFormat="false" ht="15.75" hidden="false" customHeight="false" outlineLevel="0" collapsed="false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customFormat="false" ht="15.75" hidden="false" customHeight="false" outlineLevel="0" collapsed="false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customFormat="false" ht="15.75" hidden="false" customHeight="false" outlineLevel="0" collapsed="false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customFormat="false" ht="15.75" hidden="false" customHeight="false" outlineLevel="0" collapsed="false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customFormat="false" ht="15.75" hidden="false" customHeight="false" outlineLevel="0" collapsed="false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customFormat="false" ht="15.75" hidden="false" customHeight="false" outlineLevel="0" collapsed="false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customFormat="false" ht="15.75" hidden="false" customHeight="false" outlineLevel="0" collapsed="false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customFormat="false" ht="15.75" hidden="false" customHeight="false" outlineLevel="0" collapsed="false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customFormat="false" ht="15.75" hidden="false" customHeight="false" outlineLevel="0" collapsed="false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customFormat="false" ht="15.75" hidden="false" customHeight="false" outlineLevel="0" collapsed="false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customFormat="false" ht="15.75" hidden="false" customHeight="false" outlineLevel="0" collapsed="false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customFormat="false" ht="15.75" hidden="false" customHeight="false" outlineLevel="0" collapsed="false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customFormat="false" ht="15.75" hidden="false" customHeight="false" outlineLevel="0" collapsed="false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customFormat="false" ht="15.75" hidden="false" customHeight="false" outlineLevel="0" collapsed="false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customFormat="false" ht="15.75" hidden="false" customHeight="false" outlineLevel="0" collapsed="false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customFormat="false" ht="15.75" hidden="false" customHeight="false" outlineLevel="0" collapsed="false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customFormat="false" ht="15.75" hidden="false" customHeight="false" outlineLevel="0" collapsed="false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customFormat="false" ht="15.75" hidden="false" customHeight="false" outlineLevel="0" collapsed="false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customFormat="false" ht="15.75" hidden="false" customHeight="false" outlineLevel="0" collapsed="false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customFormat="false" ht="15.75" hidden="false" customHeight="false" outlineLevel="0" collapsed="false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customFormat="false" ht="15.75" hidden="false" customHeight="false" outlineLevel="0" collapsed="false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customFormat="false" ht="15.75" hidden="false" customHeight="false" outlineLevel="0" collapsed="false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customFormat="false" ht="15.75" hidden="false" customHeight="false" outlineLevel="0" collapsed="false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customFormat="false" ht="15.75" hidden="false" customHeight="false" outlineLevel="0" collapsed="false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customFormat="false" ht="15.75" hidden="false" customHeight="false" outlineLevel="0" collapsed="false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customFormat="false" ht="15.75" hidden="false" customHeight="false" outlineLevel="0" collapsed="false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customFormat="false" ht="15.75" hidden="false" customHeight="false" outlineLevel="0" collapsed="false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customFormat="false" ht="15.75" hidden="false" customHeight="false" outlineLevel="0" collapsed="false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customFormat="false" ht="15.75" hidden="false" customHeight="false" outlineLevel="0" collapsed="false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customFormat="false" ht="15.75" hidden="false" customHeight="false" outlineLevel="0" collapsed="false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customFormat="false" ht="15.75" hidden="false" customHeight="false" outlineLevel="0" collapsed="false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customFormat="false" ht="15.75" hidden="false" customHeight="false" outlineLevel="0" collapsed="false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customFormat="false" ht="15.75" hidden="false" customHeight="false" outlineLevel="0" collapsed="false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customFormat="false" ht="15.75" hidden="false" customHeight="false" outlineLevel="0" collapsed="false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customFormat="false" ht="15.75" hidden="false" customHeight="false" outlineLevel="0" collapsed="false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customFormat="false" ht="15.75" hidden="false" customHeight="false" outlineLevel="0" collapsed="false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customFormat="false" ht="15.75" hidden="false" customHeight="false" outlineLevel="0" collapsed="false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customFormat="false" ht="15.75" hidden="false" customHeight="false" outlineLevel="0" collapsed="false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customFormat="false" ht="15.75" hidden="false" customHeight="false" outlineLevel="0" collapsed="false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customFormat="false" ht="15.75" hidden="false" customHeight="false" outlineLevel="0" collapsed="false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customFormat="false" ht="15.75" hidden="false" customHeight="false" outlineLevel="0" collapsed="false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customFormat="false" ht="15.75" hidden="false" customHeight="false" outlineLevel="0" collapsed="false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customFormat="false" ht="15.75" hidden="false" customHeight="false" outlineLevel="0" collapsed="false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customFormat="false" ht="15.75" hidden="false" customHeight="false" outlineLevel="0" collapsed="false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customFormat="false" ht="15.75" hidden="false" customHeight="false" outlineLevel="0" collapsed="false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customFormat="false" ht="15.75" hidden="false" customHeight="false" outlineLevel="0" collapsed="false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customFormat="false" ht="15.75" hidden="false" customHeight="false" outlineLevel="0" collapsed="false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customFormat="false" ht="15.75" hidden="false" customHeight="false" outlineLevel="0" collapsed="false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customFormat="false" ht="15.75" hidden="false" customHeight="false" outlineLevel="0" collapsed="false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customFormat="false" ht="15.75" hidden="false" customHeight="false" outlineLevel="0" collapsed="false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customFormat="false" ht="15.75" hidden="false" customHeight="false" outlineLevel="0" collapsed="false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customFormat="false" ht="15.75" hidden="false" customHeight="false" outlineLevel="0" collapsed="false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customFormat="false" ht="15.75" hidden="false" customHeight="false" outlineLevel="0" collapsed="false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customFormat="false" ht="15.75" hidden="false" customHeight="false" outlineLevel="0" collapsed="false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customFormat="false" ht="15.75" hidden="false" customHeight="false" outlineLevel="0" collapsed="false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customFormat="false" ht="15.75" hidden="false" customHeight="false" outlineLevel="0" collapsed="false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customFormat="false" ht="15.75" hidden="false" customHeight="false" outlineLevel="0" collapsed="false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customFormat="false" ht="15.75" hidden="false" customHeight="false" outlineLevel="0" collapsed="false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customFormat="false" ht="15.75" hidden="false" customHeight="false" outlineLevel="0" collapsed="false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customFormat="false" ht="15.75" hidden="false" customHeight="false" outlineLevel="0" collapsed="false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customFormat="false" ht="15.75" hidden="false" customHeight="false" outlineLevel="0" collapsed="false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customFormat="false" ht="15.75" hidden="false" customHeight="false" outlineLevel="0" collapsed="false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customFormat="false" ht="15.75" hidden="false" customHeight="false" outlineLevel="0" collapsed="false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customFormat="false" ht="15.75" hidden="false" customHeight="false" outlineLevel="0" collapsed="false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customFormat="false" ht="15.75" hidden="false" customHeight="false" outlineLevel="0" collapsed="false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customFormat="false" ht="15.75" hidden="false" customHeight="false" outlineLevel="0" collapsed="false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customFormat="false" ht="15.75" hidden="false" customHeight="false" outlineLevel="0" collapsed="false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customFormat="false" ht="15.75" hidden="false" customHeight="false" outlineLevel="0" collapsed="false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customFormat="false" ht="15.75" hidden="false" customHeight="false" outlineLevel="0" collapsed="false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customFormat="false" ht="15.75" hidden="false" customHeight="false" outlineLevel="0" collapsed="false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customFormat="false" ht="15.75" hidden="false" customHeight="false" outlineLevel="0" collapsed="false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customFormat="false" ht="15.75" hidden="false" customHeight="false" outlineLevel="0" collapsed="false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customFormat="false" ht="15.75" hidden="false" customHeight="false" outlineLevel="0" collapsed="false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customFormat="false" ht="15.75" hidden="false" customHeight="false" outlineLevel="0" collapsed="false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customFormat="false" ht="15.75" hidden="false" customHeight="false" outlineLevel="0" collapsed="false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customFormat="false" ht="15.75" hidden="false" customHeight="false" outlineLevel="0" collapsed="false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customFormat="false" ht="15.75" hidden="false" customHeight="false" outlineLevel="0" collapsed="false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customFormat="false" ht="15.75" hidden="false" customHeight="false" outlineLevel="0" collapsed="false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customFormat="false" ht="15.75" hidden="false" customHeight="false" outlineLevel="0" collapsed="false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customFormat="false" ht="15.75" hidden="false" customHeight="false" outlineLevel="0" collapsed="false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customFormat="false" ht="15.75" hidden="false" customHeight="false" outlineLevel="0" collapsed="false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customFormat="false" ht="15.75" hidden="false" customHeight="false" outlineLevel="0" collapsed="false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customFormat="false" ht="15.75" hidden="false" customHeight="false" outlineLevel="0" collapsed="false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customFormat="false" ht="15.75" hidden="false" customHeight="false" outlineLevel="0" collapsed="false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customFormat="false" ht="15.75" hidden="false" customHeight="false" outlineLevel="0" collapsed="false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customFormat="false" ht="15.75" hidden="false" customHeight="false" outlineLevel="0" collapsed="false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customFormat="false" ht="15.75" hidden="false" customHeight="false" outlineLevel="0" collapsed="false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customFormat="false" ht="15.75" hidden="false" customHeight="false" outlineLevel="0" collapsed="false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customFormat="false" ht="15.75" hidden="false" customHeight="false" outlineLevel="0" collapsed="false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customFormat="false" ht="15.75" hidden="false" customHeight="false" outlineLevel="0" collapsed="false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customFormat="false" ht="15.75" hidden="false" customHeight="false" outlineLevel="0" collapsed="false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customFormat="false" ht="15.75" hidden="false" customHeight="false" outlineLevel="0" collapsed="false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customFormat="false" ht="15.75" hidden="false" customHeight="false" outlineLevel="0" collapsed="false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customFormat="false" ht="15.75" hidden="false" customHeight="false" outlineLevel="0" collapsed="false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customFormat="false" ht="15.75" hidden="false" customHeight="false" outlineLevel="0" collapsed="false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customFormat="false" ht="15.75" hidden="false" customHeight="false" outlineLevel="0" collapsed="false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customFormat="false" ht="15.75" hidden="false" customHeight="false" outlineLevel="0" collapsed="false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customFormat="false" ht="15.75" hidden="false" customHeight="false" outlineLevel="0" collapsed="false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customFormat="false" ht="15.75" hidden="false" customHeight="false" outlineLevel="0" collapsed="false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customFormat="false" ht="15.75" hidden="false" customHeight="false" outlineLevel="0" collapsed="false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customFormat="false" ht="15.75" hidden="false" customHeight="false" outlineLevel="0" collapsed="false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customFormat="false" ht="15.75" hidden="false" customHeight="false" outlineLevel="0" collapsed="false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customFormat="false" ht="15.75" hidden="false" customHeight="false" outlineLevel="0" collapsed="false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customFormat="false" ht="15.75" hidden="false" customHeight="false" outlineLevel="0" collapsed="false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customFormat="false" ht="15.75" hidden="false" customHeight="false" outlineLevel="0" collapsed="false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customFormat="false" ht="15.75" hidden="false" customHeight="false" outlineLevel="0" collapsed="false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customFormat="false" ht="15.75" hidden="false" customHeight="false" outlineLevel="0" collapsed="false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customFormat="false" ht="15.75" hidden="false" customHeight="false" outlineLevel="0" collapsed="false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customFormat="false" ht="15.75" hidden="false" customHeight="false" outlineLevel="0" collapsed="false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customFormat="false" ht="15.75" hidden="false" customHeight="false" outlineLevel="0" collapsed="false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customFormat="false" ht="15.75" hidden="false" customHeight="false" outlineLevel="0" collapsed="false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customFormat="false" ht="15.75" hidden="false" customHeight="false" outlineLevel="0" collapsed="false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customFormat="false" ht="15.75" hidden="false" customHeight="false" outlineLevel="0" collapsed="false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customFormat="false" ht="15.75" hidden="false" customHeight="false" outlineLevel="0" collapsed="false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customFormat="false" ht="15.75" hidden="false" customHeight="false" outlineLevel="0" collapsed="false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customFormat="false" ht="15.75" hidden="false" customHeight="false" outlineLevel="0" collapsed="false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customFormat="false" ht="15.75" hidden="false" customHeight="false" outlineLevel="0" collapsed="false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customFormat="false" ht="15.75" hidden="false" customHeight="false" outlineLevel="0" collapsed="false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customFormat="false" ht="15.75" hidden="false" customHeight="false" outlineLevel="0" collapsed="false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customFormat="false" ht="15.75" hidden="false" customHeight="false" outlineLevel="0" collapsed="false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customFormat="false" ht="15.75" hidden="false" customHeight="false" outlineLevel="0" collapsed="false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customFormat="false" ht="15.75" hidden="false" customHeight="false" outlineLevel="0" collapsed="false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customFormat="false" ht="15.75" hidden="false" customHeight="false" outlineLevel="0" collapsed="false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customFormat="false" ht="15.75" hidden="false" customHeight="false" outlineLevel="0" collapsed="false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customFormat="false" ht="15.75" hidden="false" customHeight="false" outlineLevel="0" collapsed="false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customFormat="false" ht="15.75" hidden="false" customHeight="false" outlineLevel="0" collapsed="false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customFormat="false" ht="15.75" hidden="false" customHeight="false" outlineLevel="0" collapsed="false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customFormat="false" ht="15.75" hidden="false" customHeight="false" outlineLevel="0" collapsed="false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customFormat="false" ht="15.75" hidden="false" customHeight="false" outlineLevel="0" collapsed="false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customFormat="false" ht="15.75" hidden="false" customHeight="false" outlineLevel="0" collapsed="false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customFormat="false" ht="15.75" hidden="false" customHeight="false" outlineLevel="0" collapsed="false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customFormat="false" ht="15.75" hidden="false" customHeight="false" outlineLevel="0" collapsed="false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customFormat="false" ht="15.75" hidden="false" customHeight="false" outlineLevel="0" collapsed="false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customFormat="false" ht="15.75" hidden="false" customHeight="false" outlineLevel="0" collapsed="false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customFormat="false" ht="15.75" hidden="false" customHeight="false" outlineLevel="0" collapsed="false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customFormat="false" ht="15.75" hidden="false" customHeight="false" outlineLevel="0" collapsed="false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customFormat="false" ht="15.75" hidden="false" customHeight="false" outlineLevel="0" collapsed="false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customFormat="false" ht="15.75" hidden="false" customHeight="false" outlineLevel="0" collapsed="false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customFormat="false" ht="15.75" hidden="false" customHeight="false" outlineLevel="0" collapsed="false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customFormat="false" ht="15.75" hidden="false" customHeight="false" outlineLevel="0" collapsed="false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customFormat="false" ht="15.75" hidden="false" customHeight="false" outlineLevel="0" collapsed="false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customFormat="false" ht="15.75" hidden="false" customHeight="false" outlineLevel="0" collapsed="false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customFormat="false" ht="15.75" hidden="false" customHeight="false" outlineLevel="0" collapsed="false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customFormat="false" ht="15.75" hidden="false" customHeight="false" outlineLevel="0" collapsed="false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customFormat="false" ht="15.75" hidden="false" customHeight="false" outlineLevel="0" collapsed="false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customFormat="false" ht="15.75" hidden="false" customHeight="false" outlineLevel="0" collapsed="false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customFormat="false" ht="15.75" hidden="false" customHeight="false" outlineLevel="0" collapsed="false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customFormat="false" ht="15.75" hidden="false" customHeight="false" outlineLevel="0" collapsed="false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customFormat="false" ht="15.75" hidden="false" customHeight="false" outlineLevel="0" collapsed="false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customFormat="false" ht="15.75" hidden="false" customHeight="false" outlineLevel="0" collapsed="false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customFormat="false" ht="15.75" hidden="false" customHeight="false" outlineLevel="0" collapsed="false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customFormat="false" ht="15.75" hidden="false" customHeight="false" outlineLevel="0" collapsed="false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customFormat="false" ht="15.75" hidden="false" customHeight="false" outlineLevel="0" collapsed="false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customFormat="false" ht="15.75" hidden="false" customHeight="false" outlineLevel="0" collapsed="false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customFormat="false" ht="15.75" hidden="false" customHeight="false" outlineLevel="0" collapsed="false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customFormat="false" ht="15.75" hidden="false" customHeight="false" outlineLevel="0" collapsed="false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customFormat="false" ht="15.75" hidden="false" customHeight="false" outlineLevel="0" collapsed="false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customFormat="false" ht="15.75" hidden="false" customHeight="false" outlineLevel="0" collapsed="false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customFormat="false" ht="15.75" hidden="false" customHeight="false" outlineLevel="0" collapsed="false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customFormat="false" ht="15.75" hidden="false" customHeight="false" outlineLevel="0" collapsed="false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customFormat="false" ht="15.75" hidden="false" customHeight="false" outlineLevel="0" collapsed="false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customFormat="false" ht="15.75" hidden="false" customHeight="false" outlineLevel="0" collapsed="false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customFormat="false" ht="15.75" hidden="false" customHeight="false" outlineLevel="0" collapsed="false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customFormat="false" ht="15.75" hidden="false" customHeight="false" outlineLevel="0" collapsed="false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customFormat="false" ht="15.75" hidden="false" customHeight="false" outlineLevel="0" collapsed="false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customFormat="false" ht="15.75" hidden="false" customHeight="false" outlineLevel="0" collapsed="false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customFormat="false" ht="15.75" hidden="false" customHeight="false" outlineLevel="0" collapsed="false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customFormat="false" ht="15.75" hidden="false" customHeight="false" outlineLevel="0" collapsed="false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customFormat="false" ht="15.75" hidden="false" customHeight="false" outlineLevel="0" collapsed="false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customFormat="false" ht="15.75" hidden="false" customHeight="false" outlineLevel="0" collapsed="false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customFormat="false" ht="15.75" hidden="false" customHeight="false" outlineLevel="0" collapsed="false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customFormat="false" ht="15.75" hidden="false" customHeight="false" outlineLevel="0" collapsed="false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customFormat="false" ht="15.75" hidden="false" customHeight="false" outlineLevel="0" collapsed="false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customFormat="false" ht="15.75" hidden="false" customHeight="false" outlineLevel="0" collapsed="false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customFormat="false" ht="15.75" hidden="false" customHeight="false" outlineLevel="0" collapsed="false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customFormat="false" ht="15.75" hidden="false" customHeight="false" outlineLevel="0" collapsed="false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customFormat="false" ht="15.75" hidden="false" customHeight="false" outlineLevel="0" collapsed="false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customFormat="false" ht="15.75" hidden="false" customHeight="false" outlineLevel="0" collapsed="false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customFormat="false" ht="15.75" hidden="false" customHeight="false" outlineLevel="0" collapsed="false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customFormat="false" ht="15.75" hidden="false" customHeight="false" outlineLevel="0" collapsed="false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customFormat="false" ht="15.75" hidden="false" customHeight="false" outlineLevel="0" collapsed="false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customFormat="false" ht="15.75" hidden="false" customHeight="false" outlineLevel="0" collapsed="false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customFormat="false" ht="15.75" hidden="false" customHeight="false" outlineLevel="0" collapsed="false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customFormat="false" ht="15.75" hidden="false" customHeight="false" outlineLevel="0" collapsed="false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customFormat="false" ht="15.75" hidden="false" customHeight="false" outlineLevel="0" collapsed="false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customFormat="false" ht="15.75" hidden="false" customHeight="false" outlineLevel="0" collapsed="false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customFormat="false" ht="15.75" hidden="false" customHeight="false" outlineLevel="0" collapsed="false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customFormat="false" ht="15.75" hidden="false" customHeight="false" outlineLevel="0" collapsed="false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customFormat="false" ht="15.75" hidden="false" customHeight="false" outlineLevel="0" collapsed="false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customFormat="false" ht="15.75" hidden="false" customHeight="false" outlineLevel="0" collapsed="false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customFormat="false" ht="15.75" hidden="false" customHeight="false" outlineLevel="0" collapsed="false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customFormat="false" ht="15.75" hidden="false" customHeight="false" outlineLevel="0" collapsed="false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customFormat="false" ht="15.75" hidden="false" customHeight="false" outlineLevel="0" collapsed="false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customFormat="false" ht="15.75" hidden="false" customHeight="false" outlineLevel="0" collapsed="false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customFormat="false" ht="15.75" hidden="false" customHeight="false" outlineLevel="0" collapsed="false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customFormat="false" ht="15.75" hidden="false" customHeight="false" outlineLevel="0" collapsed="false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customFormat="false" ht="15.75" hidden="false" customHeight="false" outlineLevel="0" collapsed="false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customFormat="false" ht="15.75" hidden="false" customHeight="false" outlineLevel="0" collapsed="false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customFormat="false" ht="15.75" hidden="false" customHeight="false" outlineLevel="0" collapsed="false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customFormat="false" ht="15.75" hidden="false" customHeight="false" outlineLevel="0" collapsed="false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customFormat="false" ht="15.75" hidden="false" customHeight="false" outlineLevel="0" collapsed="false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customFormat="false" ht="15.75" hidden="false" customHeight="false" outlineLevel="0" collapsed="false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customFormat="false" ht="15.75" hidden="false" customHeight="false" outlineLevel="0" collapsed="false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customFormat="false" ht="15.75" hidden="false" customHeight="false" outlineLevel="0" collapsed="false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customFormat="false" ht="15.75" hidden="false" customHeight="false" outlineLevel="0" collapsed="false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customFormat="false" ht="15.75" hidden="false" customHeight="false" outlineLevel="0" collapsed="false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customFormat="false" ht="15.75" hidden="false" customHeight="false" outlineLevel="0" collapsed="false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customFormat="false" ht="15.75" hidden="false" customHeight="false" outlineLevel="0" collapsed="false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customFormat="false" ht="15.75" hidden="false" customHeight="false" outlineLevel="0" collapsed="false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customFormat="false" ht="15.75" hidden="false" customHeight="false" outlineLevel="0" collapsed="false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customFormat="false" ht="15.75" hidden="false" customHeight="false" outlineLevel="0" collapsed="false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customFormat="false" ht="15.75" hidden="false" customHeight="false" outlineLevel="0" collapsed="false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customFormat="false" ht="15.75" hidden="false" customHeight="false" outlineLevel="0" collapsed="false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customFormat="false" ht="15.75" hidden="false" customHeight="false" outlineLevel="0" collapsed="false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customFormat="false" ht="15.75" hidden="false" customHeight="false" outlineLevel="0" collapsed="false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customFormat="false" ht="15.75" hidden="false" customHeight="false" outlineLevel="0" collapsed="false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customFormat="false" ht="15.75" hidden="false" customHeight="false" outlineLevel="0" collapsed="false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customFormat="false" ht="15.75" hidden="false" customHeight="false" outlineLevel="0" collapsed="false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customFormat="false" ht="15.75" hidden="false" customHeight="false" outlineLevel="0" collapsed="false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customFormat="false" ht="15.75" hidden="false" customHeight="false" outlineLevel="0" collapsed="false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customFormat="false" ht="15.75" hidden="false" customHeight="false" outlineLevel="0" collapsed="false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customFormat="false" ht="15.75" hidden="false" customHeight="false" outlineLevel="0" collapsed="false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customFormat="false" ht="15.75" hidden="false" customHeight="false" outlineLevel="0" collapsed="false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customFormat="false" ht="15.75" hidden="false" customHeight="false" outlineLevel="0" collapsed="false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customFormat="false" ht="15.75" hidden="false" customHeight="false" outlineLevel="0" collapsed="false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customFormat="false" ht="15.75" hidden="false" customHeight="false" outlineLevel="0" collapsed="false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customFormat="false" ht="15.75" hidden="false" customHeight="false" outlineLevel="0" collapsed="false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customFormat="false" ht="15.75" hidden="false" customHeight="false" outlineLevel="0" collapsed="false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customFormat="false" ht="15.75" hidden="false" customHeight="false" outlineLevel="0" collapsed="false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customFormat="false" ht="15.75" hidden="false" customHeight="false" outlineLevel="0" collapsed="false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customFormat="false" ht="15.75" hidden="false" customHeight="false" outlineLevel="0" collapsed="false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customFormat="false" ht="15.75" hidden="false" customHeight="false" outlineLevel="0" collapsed="false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customFormat="false" ht="15.75" hidden="false" customHeight="false" outlineLevel="0" collapsed="false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customFormat="false" ht="15.75" hidden="false" customHeight="false" outlineLevel="0" collapsed="false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customFormat="false" ht="15.75" hidden="false" customHeight="false" outlineLevel="0" collapsed="false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customFormat="false" ht="15.75" hidden="false" customHeight="false" outlineLevel="0" collapsed="false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customFormat="false" ht="15.75" hidden="false" customHeight="false" outlineLevel="0" collapsed="false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customFormat="false" ht="15.75" hidden="false" customHeight="false" outlineLevel="0" collapsed="false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customFormat="false" ht="15.75" hidden="false" customHeight="false" outlineLevel="0" collapsed="false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customFormat="false" ht="15.75" hidden="false" customHeight="false" outlineLevel="0" collapsed="false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customFormat="false" ht="15.75" hidden="false" customHeight="false" outlineLevel="0" collapsed="false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customFormat="false" ht="15.75" hidden="false" customHeight="false" outlineLevel="0" collapsed="false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customFormat="false" ht="15.75" hidden="false" customHeight="false" outlineLevel="0" collapsed="false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customFormat="false" ht="15.75" hidden="false" customHeight="false" outlineLevel="0" collapsed="false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customFormat="false" ht="15.75" hidden="false" customHeight="false" outlineLevel="0" collapsed="false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customFormat="false" ht="15.75" hidden="false" customHeight="false" outlineLevel="0" collapsed="false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customFormat="false" ht="15.75" hidden="false" customHeight="false" outlineLevel="0" collapsed="false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customFormat="false" ht="15.75" hidden="false" customHeight="false" outlineLevel="0" collapsed="false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customFormat="false" ht="15.75" hidden="false" customHeight="false" outlineLevel="0" collapsed="false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customFormat="false" ht="15.75" hidden="false" customHeight="false" outlineLevel="0" collapsed="false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customFormat="false" ht="15.75" hidden="false" customHeight="false" outlineLevel="0" collapsed="false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customFormat="false" ht="15.75" hidden="false" customHeight="false" outlineLevel="0" collapsed="false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customFormat="false" ht="15.75" hidden="false" customHeight="false" outlineLevel="0" collapsed="false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customFormat="false" ht="15.75" hidden="false" customHeight="false" outlineLevel="0" collapsed="false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customFormat="false" ht="15.75" hidden="false" customHeight="false" outlineLevel="0" collapsed="false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A1:I1"/>
    <mergeCell ref="A3:A4"/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