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ต.ค.68" sheetId="1" state="visible" r:id="rId3"/>
    <sheet name="พ.ย.68" sheetId="2" state="visible" r:id="rId4"/>
    <sheet name="ธ.ค.68" sheetId="3" state="visible" r:id="rId5"/>
    <sheet name="ม.ค.69" sheetId="4" state="visible" r:id="rId6"/>
    <sheet name="ก.พ.69" sheetId="5" state="visible" r:id="rId7"/>
    <sheet name="มี.ค.69" sheetId="6" state="visible" r:id="rId8"/>
    <sheet name="เม.ย.69" sheetId="7" state="visible" r:id="rId9"/>
    <sheet name="พ.ค.69" sheetId="8" state="visible" r:id="rId10"/>
    <sheet name="มิ.ย.69" sheetId="9" state="visible" r:id="rId11"/>
    <sheet name="ก.ค.69" sheetId="10" state="visible" r:id="rId12"/>
    <sheet name="ส.ค.69" sheetId="11" state="visible" r:id="rId13"/>
    <sheet name="ก.ย.69" sheetId="12" state="visible" r:id="rId14"/>
    <sheet name="สรุปยอด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<sst xmlns="http://schemas.openxmlformats.org/spreadsheetml/2006/main" count="1921" uniqueCount="1272">
  <si>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ตุลาคม </t>
    </r>
    <r>
      <rPr>
        <b val="true"/>
        <sz val="18"/>
        <color theme="1"/>
        <rFont val="TH SarabunPSK"/>
        <family val="0"/>
        <charset val="1"/>
      </rPr>
      <t xml:space="preserve">2568</t>
    </r>
  </si>
  <si>
    <t xml:space="preserve">วันที่ชำระ</t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</si>
  <si>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Safety</t>
    </r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</si>
  <si>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Receipt  (</t>
    </r>
    <r>
      <rPr>
        <b val="true"/>
        <sz val="16"/>
        <color theme="1"/>
        <rFont val="Arial"/>
        <family val="0"/>
        <charset val="1"/>
      </rPr>
      <t xml:space="preserve">ใบเสร็จรับเงิน </t>
    </r>
    <r>
      <rPr>
        <b val="true"/>
        <sz val="16"/>
        <color theme="1"/>
        <rFont val="TH SarabunPSK"/>
        <family val="0"/>
        <charset val="1"/>
      </rPr>
      <t xml:space="preserve">A4)</t>
    </r>
  </si>
  <si>
    <r>
      <rPr>
        <b val="true"/>
        <sz val="16"/>
        <color theme="1"/>
        <rFont val="Arial"/>
        <family val="0"/>
        <charset val="1"/>
      </rPr>
      <t xml:space="preserve">รวมพรบ</t>
    </r>
    <r>
      <rPr>
        <b val="true"/>
        <sz val="16"/>
        <color theme="1"/>
        <rFont val="TH SarabunPSK"/>
        <family val="0"/>
        <charset val="1"/>
      </rPr>
      <t xml:space="preserve">.42  (Safety + Receipt)</t>
    </r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</si>
  <si>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Trade</t>
    </r>
  </si>
  <si>
    <r>
      <rPr>
        <b val="true"/>
        <sz val="16"/>
        <color theme="1"/>
        <rFont val="Arial"/>
        <family val="0"/>
        <charset val="1"/>
      </rPr>
      <t xml:space="preserve">รวมพรบ</t>
    </r>
    <r>
      <rPr>
        <b val="true"/>
        <sz val="16"/>
        <color theme="1"/>
        <rFont val="TH SarabunPSK"/>
        <family val="0"/>
        <charset val="1"/>
      </rPr>
      <t xml:space="preserve">.2543 (Trade)</t>
    </r>
  </si>
  <si>
    <r>
      <rPr>
        <b val="true"/>
        <sz val="16"/>
        <color theme="1"/>
        <rFont val="Arial"/>
        <family val="0"/>
        <charset val="1"/>
      </rPr>
      <t xml:space="preserve">นำรายได้ ส่ง คพ</t>
    </r>
    <r>
      <rPr>
        <b val="true"/>
        <sz val="16"/>
        <color theme="1"/>
        <rFont val="TH SarabunPSK"/>
        <family val="0"/>
        <charset val="1"/>
      </rPr>
      <t xml:space="preserve">.
 </t>
    </r>
    <r>
      <rPr>
        <b val="true"/>
        <sz val="16"/>
        <color theme="1"/>
        <rFont val="Arial"/>
        <family val="0"/>
        <charset val="1"/>
      </rPr>
      <t xml:space="preserve">พรบ</t>
    </r>
    <r>
      <rPr>
        <b val="true"/>
        <sz val="16"/>
        <color theme="1"/>
        <rFont val="TH SarabunPSK"/>
        <family val="0"/>
        <charset val="1"/>
      </rPr>
      <t xml:space="preserve">.42 + </t>
    </r>
    <r>
      <rPr>
        <b val="true"/>
        <sz val="16"/>
        <color theme="1"/>
        <rFont val="Arial"/>
        <family val="0"/>
        <charset val="1"/>
      </rPr>
      <t xml:space="preserve">พรบ</t>
    </r>
    <r>
      <rPr>
        <b val="true"/>
        <sz val="16"/>
        <color theme="1"/>
        <rFont val="TH SarabunPSK"/>
        <family val="0"/>
        <charset val="1"/>
      </rPr>
      <t xml:space="preserve">.43 </t>
    </r>
  </si>
  <si>
    <t xml:space="preserve">หมายเหตุ</t>
  </si>
  <si>
    <r>
      <rPr>
        <b val="true"/>
        <sz val="16"/>
        <color theme="1"/>
        <rFont val="Arial"/>
        <family val="0"/>
        <charset val="1"/>
      </rPr>
      <t xml:space="preserve">พน</t>
    </r>
    <r>
      <rPr>
        <b val="true"/>
        <sz val="16"/>
        <color theme="1"/>
        <rFont val="TH SarabunPSK"/>
        <family val="0"/>
        <charset val="1"/>
      </rPr>
      <t xml:space="preserve">0401.1/</t>
    </r>
  </si>
  <si>
    <t xml:space="preserve">วันที่ส่ง</t>
  </si>
  <si>
    <t xml:space="preserve">จำนวนใบเสร็จ</t>
  </si>
  <si>
    <t xml:space="preserve">จำนวนเงิน</t>
  </si>
  <si>
    <t xml:space="preserve">ยกเลิกใบเสร็จ</t>
  </si>
  <si>
    <t xml:space="preserve">จาก</t>
  </si>
  <si>
    <t xml:space="preserve">ถึง</t>
  </si>
  <si>
    <r>
      <rPr>
        <b val="true"/>
        <sz val="16"/>
        <color theme="1"/>
        <rFont val="Arial"/>
        <family val="0"/>
        <charset val="1"/>
      </rPr>
      <t xml:space="preserve">ยกเลิก</t>
    </r>
    <r>
      <rPr>
        <b val="true"/>
        <sz val="16"/>
        <color theme="1"/>
        <rFont val="TH SarabunPSK"/>
        <family val="0"/>
        <charset val="1"/>
      </rPr>
      <t xml:space="preserve">/</t>
    </r>
    <r>
      <rPr>
        <b val="true"/>
        <sz val="16"/>
        <color theme="1"/>
        <rFont val="Arial"/>
        <family val="0"/>
        <charset val="1"/>
      </rPr>
      <t xml:space="preserve">ใบเสร็จเสีย</t>
    </r>
  </si>
  <si>
    <t xml:space="preserve">รวมจำนวนใบเสร็จ</t>
  </si>
  <si>
    <t xml:space="preserve">รวมจำนวนเงิน</t>
  </si>
  <si>
    <t xml:space="preserve">จำนวนใบเสร็จ </t>
  </si>
  <si>
    <t xml:space="preserve">เลขที่ใบเสร็จ</t>
  </si>
  <si>
    <r>
      <rPr>
        <sz val="16"/>
        <color theme="1"/>
        <rFont val="TH SarabunPSK"/>
        <family val="0"/>
        <charset val="1"/>
      </rPr>
      <t xml:space="preserve">1-2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</si>
  <si>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2569/00016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</si>
  <si>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2569/00030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</si>
  <si>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69/00014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</si>
  <si>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69/00036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</si>
  <si>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</si>
  <si>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3-5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</si>
  <si>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2569/00031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</si>
  <si>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2569/00037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</si>
  <si>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69/00037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</si>
  <si>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69/00051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</si>
  <si>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</si>
  <si>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2569/00038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</si>
  <si>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2569/00054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</si>
  <si>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69/00052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</si>
  <si>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69/00068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</si>
  <si>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</si>
  <si>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t xml:space="preserve">-</t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</si>
  <si>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2569/00055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</si>
  <si>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2569/00056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</si>
  <si>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69/00069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</si>
  <si>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69/00071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</si>
  <si>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</si>
  <si>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2569/00057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</si>
  <si>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2569/00060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</si>
  <si>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69/00072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</si>
  <si>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69/00084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</si>
  <si>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</si>
  <si>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2569/00061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</si>
  <si>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2569/00064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</si>
  <si>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69/00085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</si>
  <si>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69/00101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</si>
  <si>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</si>
  <si>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10-13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</si>
  <si>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2569/00065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</si>
  <si>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2569/00071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</si>
  <si>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69/00102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</si>
  <si>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69/00115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</si>
  <si>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</si>
  <si>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2569/00072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</si>
  <si>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2569/00073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</si>
  <si>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69/00116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</si>
  <si>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69/00124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</si>
  <si>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</si>
  <si>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2569/00074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</si>
  <si>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69/00125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</si>
  <si>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69/00131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</si>
  <si>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</si>
  <si>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2569/00075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</si>
  <si>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2569/00080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</si>
  <si>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69/00132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</si>
  <si>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69/00140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</si>
  <si>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</si>
  <si>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17-19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</si>
  <si>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2569/00081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</si>
  <si>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2569/00084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</si>
  <si>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69/00141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</si>
  <si>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69/00148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</si>
  <si>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</si>
  <si>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2569/00085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</si>
  <si>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2569/00088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</si>
  <si>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69/00149.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</si>
  <si>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69/00161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</si>
  <si>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</si>
  <si>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2569/00089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</si>
  <si>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2569/00096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</si>
  <si>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69/00162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</si>
  <si>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69/00183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</si>
  <si>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</si>
  <si>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22-23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</si>
  <si>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2569/00098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</si>
  <si>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2569/00104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</si>
  <si>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69/00184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</si>
  <si>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69/00202</t>
    </r>
  </si>
  <si>
    <r>
      <rPr>
        <sz val="12"/>
        <color rgb="FFFF0000"/>
        <rFont val="Arial"/>
        <family val="0"/>
        <charset val="1"/>
      </rPr>
      <t xml:space="preserve">ธ</t>
    </r>
    <r>
      <rPr>
        <sz val="12"/>
        <color rgb="FFFF0000"/>
        <rFont val="TH SarabunPSK"/>
        <family val="0"/>
        <charset val="1"/>
      </rPr>
      <t xml:space="preserve">2569/00097 </t>
    </r>
    <r>
      <rPr>
        <sz val="12"/>
        <color rgb="FFFF0000"/>
        <rFont val="Arial"/>
        <family val="0"/>
        <charset val="1"/>
      </rPr>
      <t xml:space="preserve">ไม่พบในระบบเนื่องจากระบบขัดข้อง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</si>
  <si>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</si>
  <si>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24-26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</si>
  <si>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2569/00109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</si>
  <si>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69/00203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</si>
  <si>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69/00210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</si>
  <si>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</si>
  <si>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2569/00110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</si>
  <si>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2569/00113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</si>
  <si>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69/00211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</si>
  <si>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69/00219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</si>
  <si>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</si>
  <si>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2569/00114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</si>
  <si>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2569/00117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</si>
  <si>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69/00220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</si>
  <si>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69/00231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</si>
  <si>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</si>
  <si>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2569/00118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</si>
  <si>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2569/00119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</si>
  <si>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69/00232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</si>
  <si>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69/00237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</si>
  <si>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</si>
  <si>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2569/00120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</si>
  <si>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2569/00126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</si>
  <si>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69/00238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</si>
  <si>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69/00245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</si>
  <si>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</si>
  <si>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t xml:space="preserve">รวม</t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</si>
  <si>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พฤศจิกายน </t>
    </r>
    <r>
      <rPr>
        <b val="true"/>
        <sz val="18"/>
        <color theme="1"/>
        <rFont val="TH SarabunPSK"/>
        <family val="0"/>
        <charset val="1"/>
      </rPr>
      <t xml:space="preserve">2568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</si>
  <si>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.-2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</si>
  <si>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2569/00127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</si>
  <si>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2569/00136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</si>
  <si>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69/00246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</si>
  <si>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69/00267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</si>
  <si>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</si>
  <si>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</si>
  <si>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2569/00137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</si>
  <si>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</si>
  <si>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69/00278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</si>
  <si>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</si>
  <si>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</si>
  <si>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2569/00138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</si>
  <si>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2569/00145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</si>
  <si>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69/00279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</si>
  <si>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69/00287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</si>
  <si>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</si>
  <si>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</si>
  <si>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69/00299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</si>
  <si>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</si>
  <si>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</si>
  <si>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2569/00146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</si>
  <si>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2569/00147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</si>
  <si>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69/00300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</si>
  <si>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69/00313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</si>
  <si>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</si>
  <si>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7 - 9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</si>
  <si>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2569/00148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</si>
  <si>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2569/00154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</si>
  <si>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69/00314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</si>
  <si>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69/00330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</si>
  <si>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</si>
  <si>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</si>
  <si>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2569/00155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</si>
  <si>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2569/00156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</si>
  <si>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69/00331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</si>
  <si>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69/00341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</si>
  <si>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</si>
  <si>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</si>
  <si>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69/00342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</si>
  <si>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69/00349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</si>
  <si>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</si>
  <si>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</si>
  <si>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2569/00157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</si>
  <si>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2569/00164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</si>
  <si>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69/00350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</si>
  <si>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69/00359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</si>
  <si>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</si>
  <si>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</si>
  <si>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2569/00165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</si>
  <si>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</si>
  <si>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69/00360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</si>
  <si>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69/00368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</si>
  <si>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</si>
  <si>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14 - 16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</si>
  <si>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</si>
  <si>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2569/00172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</si>
  <si>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</si>
  <si>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69/00389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</si>
  <si>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</si>
  <si>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17 - 18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</si>
  <si>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2569/00173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</si>
  <si>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2569/00179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</si>
  <si>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69/00390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</si>
  <si>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69/00418</t>
    </r>
  </si>
  <si>
    <r>
      <rPr>
        <sz val="16"/>
        <color theme="1"/>
        <rFont val="TH SarabunPSK"/>
        <family val="0"/>
        <charset val="1"/>
      </rPr>
      <t xml:space="preserve">19 - 20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</si>
  <si>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2569/00180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</si>
  <si>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2569/00199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</si>
  <si>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69/00419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</si>
  <si>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69/00438</t>
    </r>
  </si>
  <si>
    <r>
      <rPr>
        <sz val="12"/>
        <color rgb="FFFF0000"/>
        <rFont val="TH SarabunPSK"/>
        <family val="0"/>
        <charset val="1"/>
      </rPr>
      <t xml:space="preserve">Safety -4 </t>
    </r>
    <r>
      <rPr>
        <sz val="12"/>
        <color rgb="FFFF0000"/>
        <rFont val="Arial"/>
        <family val="0"/>
        <charset val="1"/>
      </rPr>
      <t xml:space="preserve">ราย </t>
    </r>
    <r>
      <rPr>
        <sz val="12"/>
        <color rgb="FFFF0000"/>
        <rFont val="TH SarabunPSK"/>
        <family val="0"/>
        <charset val="1"/>
      </rPr>
      <t xml:space="preserve">4,250 </t>
    </r>
    <r>
      <rPr>
        <sz val="12"/>
        <color rgb="FFFF0000"/>
        <rFont val="Arial"/>
        <family val="0"/>
        <charset val="1"/>
      </rPr>
      <t xml:space="preserve">บาท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</si>
  <si>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</si>
  <si>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21 - 23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</si>
  <si>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2569/00200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</si>
  <si>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2569/00202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</si>
  <si>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69/00439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</si>
  <si>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69/00454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</si>
  <si>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</si>
  <si>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</si>
  <si>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2569/00203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</si>
  <si>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2569/00206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</si>
  <si>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69/00455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</si>
  <si>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69/00470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</si>
  <si>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</si>
  <si>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</si>
  <si>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2569/00207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</si>
  <si>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2569/00215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</si>
  <si>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69/00471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</si>
  <si>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69/00480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</si>
  <si>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</si>
  <si>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</si>
  <si>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2569/00216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</si>
  <si>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2569/00219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</si>
  <si>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69/00481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</si>
  <si>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69/00505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</si>
  <si>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</si>
  <si>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</si>
  <si>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2569/00220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</si>
  <si>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2569/00227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</si>
  <si>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69/00506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</si>
  <si>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69/00529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</si>
  <si>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.68</t>
    </r>
  </si>
  <si>
    <r>
      <rPr>
        <sz val="16"/>
        <color theme="1"/>
        <rFont val="TH SarabunPSK"/>
        <family val="0"/>
        <charset val="1"/>
      </rPr>
      <t xml:space="preserve">28 - 30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</si>
  <si>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2569/00228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</si>
  <si>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2569/00232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</si>
  <si>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69/00530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</si>
  <si>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69/00547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</si>
  <si>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</si>
  <si>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ธันวาคม </t>
    </r>
    <r>
      <rPr>
        <b val="true"/>
        <sz val="18"/>
        <color theme="1"/>
        <rFont val="TH SarabunPSK"/>
        <family val="0"/>
        <charset val="1"/>
      </rPr>
      <t xml:space="preserve">2568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</si>
  <si>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2569/00233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</si>
  <si>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2569/00235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</si>
  <si>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69/00548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</si>
  <si>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69/00586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</si>
  <si>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</si>
  <si>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2569/00236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</si>
  <si>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2569/00238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</si>
  <si>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69/00587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</si>
  <si>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69/00691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</si>
  <si>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</si>
  <si>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2569/00239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</si>
  <si>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2569/00249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</si>
  <si>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69/00692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</si>
  <si>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69/00834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</si>
  <si>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</si>
  <si>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4 - 7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</si>
  <si>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2569/00250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</si>
  <si>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2569/00260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</si>
  <si>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69/00835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</si>
  <si>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69/01193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</si>
  <si>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</si>
  <si>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</si>
  <si>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2569/00261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</si>
  <si>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2569/00266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</si>
  <si>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69/01194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</si>
  <si>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69/01423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</si>
  <si>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</si>
  <si>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9 - 10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</si>
  <si>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2569/00267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</si>
  <si>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69/01424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</si>
  <si>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69/01776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</si>
  <si>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</si>
  <si>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</si>
  <si>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2569/00271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</si>
  <si>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69/01777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</si>
  <si>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69/02001</t>
    </r>
  </si>
  <si>
    <r>
      <rPr>
        <sz val="16"/>
        <color theme="1"/>
        <rFont val="TH SarabunPSK"/>
        <family val="0"/>
        <charset val="1"/>
      </rPr>
      <t xml:space="preserve">12 - 14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</si>
  <si>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2569/00272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</si>
  <si>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2569/00275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</si>
  <si>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69/02002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</si>
  <si>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69/02380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</si>
  <si>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</si>
  <si>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2569/00276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</si>
  <si>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2569/00280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</si>
  <si>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69/02381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</si>
  <si>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69/02632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</si>
  <si>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</si>
  <si>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2569/00281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</si>
  <si>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2569/00286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</si>
  <si>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69/02633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</si>
  <si>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69/02853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</si>
  <si>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</si>
  <si>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2569/00287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</si>
  <si>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2569/00297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</si>
  <si>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69/02854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</si>
  <si>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69/03081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</si>
  <si>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</si>
  <si>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2569/00298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</si>
  <si>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2569/00304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</si>
  <si>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69/03082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</si>
  <si>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69/03348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</si>
  <si>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</si>
  <si>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19 - 21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</si>
  <si>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2569/00305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</si>
  <si>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2569/00309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</si>
  <si>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69/03349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</si>
  <si>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69/03757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</si>
  <si>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</si>
  <si>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2569/00310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</si>
  <si>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2569/00314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</si>
  <si>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69/03758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</si>
  <si>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69/04007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</si>
  <si>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</si>
  <si>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2569/00315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</si>
  <si>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2569/00325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</si>
  <si>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69/04008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</si>
  <si>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69/04245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</si>
  <si>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</si>
  <si>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2569/00326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</si>
  <si>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2569/00339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</si>
  <si>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69/04246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</si>
  <si>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69/04471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</si>
  <si>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</si>
  <si>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2569/00340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</si>
  <si>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2569/00369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</si>
  <si>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69/04472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</si>
  <si>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69/04699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</si>
  <si>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</si>
  <si>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26 - 28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</si>
  <si>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2569/00370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</si>
  <si>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2569/00423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</si>
  <si>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69/04700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</si>
  <si>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69/05044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</si>
  <si>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</si>
  <si>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2569/00424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</si>
  <si>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2569/00495,00566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</si>
  <si>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69/05045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</si>
  <si>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69/05214</t>
    </r>
  </si>
  <si>
    <r>
      <rPr>
        <sz val="9"/>
        <color rgb="FFFF0000"/>
        <rFont val="TH SarabunPSK"/>
        <family val="0"/>
        <charset val="1"/>
      </rPr>
      <t xml:space="preserve">*</t>
    </r>
    <r>
      <rPr>
        <sz val="9"/>
        <color rgb="FFFF0000"/>
        <rFont val="Arial"/>
        <family val="0"/>
        <charset val="1"/>
      </rPr>
      <t xml:space="preserve">เลขข้าม ระบบ </t>
    </r>
    <r>
      <rPr>
        <sz val="9"/>
        <color rgb="FFFF0000"/>
        <rFont val="TH SarabunPSK"/>
        <family val="0"/>
        <charset val="1"/>
      </rPr>
      <t xml:space="preserve">Receipt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</si>
  <si>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</si>
  <si>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มกราคม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</si>
  <si>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68 - 4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</si>
  <si>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2569/00496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</si>
  <si>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2569/00554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</si>
  <si>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69/05215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</si>
  <si>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69/05643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</si>
  <si>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</si>
  <si>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</si>
  <si>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2569/00555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</si>
  <si>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2569/00565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</si>
  <si>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69/05644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</si>
  <si>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69/05950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</si>
  <si>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</si>
  <si>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</si>
  <si>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2569/00567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</si>
  <si>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2569/00572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</si>
  <si>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69/05951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</si>
  <si>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69/06239</t>
    </r>
  </si>
  <si>
    <r>
      <rPr>
        <sz val="11"/>
        <color rgb="FFFF0000"/>
        <rFont val="TH SarabunPSK"/>
        <family val="0"/>
        <charset val="1"/>
      </rPr>
      <t xml:space="preserve">*Receipt </t>
    </r>
    <r>
      <rPr>
        <sz val="11"/>
        <color rgb="FFFF0000"/>
        <rFont val="Arial"/>
        <family val="0"/>
        <charset val="1"/>
      </rPr>
      <t xml:space="preserve">เลขข้ามเนื่องจากวันที่ชำระ </t>
    </r>
    <r>
      <rPr>
        <sz val="11"/>
        <color rgb="FFFF0000"/>
        <rFont val="TH SarabunPSK"/>
        <family val="0"/>
        <charset val="1"/>
      </rPr>
      <t xml:space="preserve">29 </t>
    </r>
    <r>
      <rPr>
        <sz val="11"/>
        <color rgb="FFFF0000"/>
        <rFont val="Arial"/>
        <family val="0"/>
        <charset val="1"/>
      </rPr>
      <t xml:space="preserve">ธ</t>
    </r>
    <r>
      <rPr>
        <sz val="11"/>
        <color rgb="FFFF0000"/>
        <rFont val="TH SarabunPSK"/>
        <family val="0"/>
        <charset val="1"/>
      </rPr>
      <t xml:space="preserve">.</t>
    </r>
    <r>
      <rPr>
        <sz val="11"/>
        <color rgb="FFFF0000"/>
        <rFont val="Arial"/>
        <family val="0"/>
        <charset val="1"/>
      </rPr>
      <t xml:space="preserve">ค</t>
    </r>
    <r>
      <rPr>
        <sz val="11"/>
        <color rgb="FFFF0000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</si>
  <si>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</si>
  <si>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</si>
  <si>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2569/00573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</si>
  <si>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2569/00577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</si>
  <si>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69/06240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</si>
  <si>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69/06553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</si>
  <si>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</si>
  <si>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</si>
  <si>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2569/00578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</si>
  <si>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2569/00588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</si>
  <si>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69/06554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</si>
  <si>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69/06839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</si>
  <si>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</si>
  <si>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9 - 11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</si>
  <si>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2569/00589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</si>
  <si>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2569/00600,00602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</si>
  <si>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2569/00601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</si>
  <si>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69/06840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</si>
  <si>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69/07201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</si>
  <si>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</si>
  <si>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</si>
  <si>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2569/00603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</si>
  <si>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2569/00612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</si>
  <si>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69/07202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</si>
  <si>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69/07503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</si>
  <si>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</si>
  <si>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</si>
  <si>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2569/00613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</si>
  <si>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2569/00617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</si>
  <si>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69/07504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</si>
  <si>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69/07757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</si>
  <si>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</si>
  <si>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</si>
  <si>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2569/00618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</si>
  <si>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69/07758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</si>
  <si>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69/08006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</si>
  <si>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</si>
  <si>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</si>
  <si>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2569/00619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</si>
  <si>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2569/00624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</si>
  <si>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69/08007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</si>
  <si>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69/08223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</si>
  <si>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</si>
  <si>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16 - 18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</si>
  <si>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2569/00625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</si>
  <si>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2569/00627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</si>
  <si>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69/08224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</si>
  <si>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69/08582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</si>
  <si>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</si>
  <si>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</si>
  <si>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2569/00628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</si>
  <si>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2569/00636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</si>
  <si>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69/08583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</si>
  <si>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69/08786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</si>
  <si>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</si>
  <si>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</si>
  <si>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2569/00637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</si>
  <si>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2569/00643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</si>
  <si>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69/08787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</si>
  <si>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69/08975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</si>
  <si>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</si>
  <si>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</si>
  <si>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2569/00644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</si>
  <si>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2569/00651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</si>
  <si>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69/08976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</si>
  <si>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69/09183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</si>
  <si>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</si>
  <si>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</si>
  <si>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2569/00652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</si>
  <si>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2569/00663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</si>
  <si>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69/09184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</si>
  <si>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69/09343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</si>
  <si>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</si>
  <si>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23 - 25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</si>
  <si>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2569/00664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</si>
  <si>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2569/00666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</si>
  <si>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69/09344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</si>
  <si>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69/09567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</si>
  <si>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</si>
  <si>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</si>
  <si>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2569/00667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</si>
  <si>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2569/00675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</si>
  <si>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69/09568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</si>
  <si>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69/09766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</si>
  <si>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</si>
  <si>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</si>
  <si>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2569/00676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</si>
  <si>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2569/00686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</si>
  <si>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69/09767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</si>
  <si>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69/09972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</si>
  <si>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</si>
  <si>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</si>
  <si>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2569/00687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</si>
  <si>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2569/00694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</si>
  <si>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69/09973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</si>
  <si>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69/10135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</si>
  <si>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</si>
  <si>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</si>
  <si>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2569/00695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</si>
  <si>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2569/00704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</si>
  <si>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69/10136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</si>
  <si>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69/10279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</si>
  <si>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</si>
  <si>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กุมภาพันธ์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</si>
  <si>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69 - 1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</si>
  <si>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2569/00705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</si>
  <si>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2569/00715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</si>
  <si>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69/10280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</si>
  <si>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69/10546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</si>
  <si>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</si>
  <si>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</si>
  <si>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2569/00716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</si>
  <si>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2569/00720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</si>
  <si>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69/10547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</si>
  <si>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69/10688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</si>
  <si>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</si>
  <si>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</si>
  <si>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2569/00721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</si>
  <si>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2569/00725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</si>
  <si>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69/10689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</si>
  <si>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69/10889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</si>
  <si>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</si>
  <si>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</si>
  <si>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2569/00726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</si>
  <si>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2569/00729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</si>
  <si>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69/10890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</si>
  <si>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69/11092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</si>
  <si>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</si>
  <si>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</si>
  <si>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2569/00730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</si>
  <si>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2569/00734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</si>
  <si>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69/11093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</si>
  <si>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69/11252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</si>
  <si>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</si>
  <si>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6 - 8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</si>
  <si>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2569/00735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</si>
  <si>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2569/00741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</si>
  <si>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69/11253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</si>
  <si>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69/11597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</si>
  <si>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</si>
  <si>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</si>
  <si>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2569/00742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</si>
  <si>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2569/00744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</si>
  <si>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69/11598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</si>
  <si>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69/11753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</si>
  <si>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</si>
  <si>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</si>
  <si>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2569/00745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</si>
  <si>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2569/00751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</si>
  <si>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69/11754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</si>
  <si>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69/11983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</si>
  <si>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</si>
  <si>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</si>
  <si>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2569/00752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</si>
  <si>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2569/00760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</si>
  <si>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69/11984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</si>
  <si>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69/12170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</si>
  <si>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</si>
  <si>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</si>
  <si>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2569/00761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</si>
  <si>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2569/00773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</si>
  <si>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69/12171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</si>
  <si>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69/12326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</si>
  <si>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</si>
  <si>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13 - 15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</si>
  <si>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2569/00774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</si>
  <si>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2569/00782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</si>
  <si>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69/12327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</si>
  <si>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69/12601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</si>
  <si>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</si>
  <si>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</si>
  <si>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2569/00783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</si>
  <si>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2569/00787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</si>
  <si>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69/12602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</si>
  <si>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69/12722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</si>
  <si>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</si>
  <si>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</si>
  <si>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2569/00788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</si>
  <si>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2569/00794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</si>
  <si>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69/12723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</si>
  <si>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69/12856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</si>
  <si>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</si>
  <si>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</si>
  <si>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2569/00795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</si>
  <si>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2569/00803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</si>
  <si>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69/12857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</si>
  <si>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69/12996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</si>
  <si>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</si>
  <si>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</si>
  <si>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2569/00804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</si>
  <si>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2569/00807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</si>
  <si>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69/12997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</si>
  <si>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69/13188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</si>
  <si>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</si>
  <si>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20 - 22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</si>
  <si>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2569/00808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</si>
  <si>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69/13189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</si>
  <si>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69/13430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</si>
  <si>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</si>
  <si>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</si>
  <si>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69/13431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</si>
  <si>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69/13644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</si>
  <si>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</si>
  <si>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</si>
  <si>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2569/00809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</si>
  <si>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2569/00820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</si>
  <si>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69/13645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</si>
  <si>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69/13877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</si>
  <si>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</si>
  <si>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</si>
  <si>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2569/00821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</si>
  <si>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2569/00823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</si>
  <si>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69/13878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</si>
  <si>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69/14140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</si>
  <si>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</si>
  <si>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</si>
  <si>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2569/00824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</si>
  <si>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2569/00832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</si>
  <si>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69/14141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</si>
  <si>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69/14457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</si>
  <si>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</si>
  <si>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</si>
  <si>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มีนาคม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</si>
  <si>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- 1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</si>
  <si>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69/14458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</si>
  <si>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2569/15068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</si>
  <si>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</si>
  <si>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2 - 3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</si>
  <si>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2569/00833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</si>
  <si>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2569/00835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</si>
  <si>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2569/15069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</si>
  <si>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2569/15174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</si>
  <si>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</si>
  <si>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2569/00836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</si>
  <si>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2569/00841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</si>
  <si>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2569/15175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</si>
  <si>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2569/15216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</si>
  <si>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</si>
  <si>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2569/00842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</si>
  <si>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2569/00844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</si>
  <si>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2569/15217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</si>
  <si>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2569/15271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</si>
  <si>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</si>
  <si>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6 - 8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</si>
  <si>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2569/00845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</si>
  <si>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2569/00853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</si>
  <si>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2569/15272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</si>
  <si>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2569/15343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</si>
  <si>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</si>
  <si>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2569/00854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</si>
  <si>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2569/00856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</si>
  <si>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2569/15344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</si>
  <si>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2569/15395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</si>
  <si>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</si>
  <si>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2569/00857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</si>
  <si>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2569/00858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</si>
  <si>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2569/15396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</si>
  <si>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2569/15453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</si>
  <si>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</si>
  <si>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2569/00859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</si>
  <si>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2569/00864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</si>
  <si>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2569/15454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</si>
  <si>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2569/15507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</si>
  <si>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</si>
  <si>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2569/00865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</si>
  <si>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</si>
  <si>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2569/15508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</si>
  <si>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2569/15561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</si>
  <si>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</si>
  <si>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13 - 15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</si>
  <si>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2569/00870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</si>
  <si>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2569/00879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</si>
  <si>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2569/15562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</si>
  <si>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2569/15610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</si>
  <si>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</si>
  <si>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2569/00880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</si>
  <si>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2569/15611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</si>
  <si>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2569/15653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</si>
  <si>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</si>
  <si>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2569/00881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</si>
  <si>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2569/00906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</si>
  <si>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2569/15654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</si>
  <si>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2569/15692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</si>
  <si>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</si>
  <si>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2569/00907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</si>
  <si>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2569/00916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</si>
  <si>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2569/15693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</si>
  <si>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2569/15729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</si>
  <si>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</si>
  <si>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2569/00917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</si>
  <si>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2569/00922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</si>
  <si>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2569/15730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</si>
  <si>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2569/15760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</si>
  <si>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</si>
  <si>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20 - 22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</si>
  <si>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2569/15761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</si>
  <si>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2569/15805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</si>
  <si>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</si>
  <si>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2569/00923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</si>
  <si>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2569/00924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</si>
  <si>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2569/15806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</si>
  <si>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2569/15854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</si>
  <si>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</si>
  <si>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2569/00925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</si>
  <si>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2569/00926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</si>
  <si>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2569/15855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</si>
  <si>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2569/15892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</si>
  <si>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</si>
  <si>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2569/00927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</si>
  <si>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2569/00932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</si>
  <si>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2569/15893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</si>
  <si>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2569/15940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</si>
  <si>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</si>
  <si>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2569/00933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</si>
  <si>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2569/00939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</si>
  <si>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2569/15941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</si>
  <si>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2569/15981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</si>
  <si>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</si>
  <si>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27 - 29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</si>
  <si>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2569/00940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</si>
  <si>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2569/00963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</si>
  <si>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2569/15982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</si>
  <si>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2569/16035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</si>
  <si>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2569/00964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</si>
  <si>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2569/16036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</si>
  <si>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2569/16074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</si>
  <si>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</si>
  <si>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2569/00965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</si>
  <si>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2569/16075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</si>
  <si>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2569/16166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</si>
  <si>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</si>
  <si>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เมษายน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</si>
  <si>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2569/00966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</si>
  <si>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</si>
  <si>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69/16167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</si>
  <si>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69/16210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</si>
  <si>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</si>
  <si>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</si>
  <si>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</si>
  <si>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2569/00972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</si>
  <si>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69/16211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</si>
  <si>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69/16259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</si>
  <si>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</si>
  <si>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3 - 6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</si>
  <si>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2569/00973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</si>
  <si>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2569/00986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</si>
  <si>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69/16260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</si>
  <si>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2569/163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</si>
  <si>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</si>
  <si>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</si>
  <si>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2569/00987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</si>
  <si>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2569/00989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</si>
  <si>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69/16318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</si>
  <si>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69/16369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</si>
  <si>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</si>
  <si>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</si>
  <si>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2569/00990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</si>
  <si>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2569/00997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</si>
  <si>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69/16370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</si>
  <si>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69/16455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</si>
  <si>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</si>
  <si>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</si>
  <si>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2569/00998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</si>
  <si>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2569/01004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</si>
  <si>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69/16456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</si>
  <si>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69/16516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</si>
  <si>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</si>
  <si>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10 - 15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</si>
  <si>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2569/01005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</si>
  <si>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2569/01008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</si>
  <si>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69/16517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</si>
  <si>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69/16574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</si>
  <si>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</si>
  <si>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</si>
  <si>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2569/01009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</si>
  <si>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69/16575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</si>
  <si>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69/16630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</si>
  <si>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</si>
  <si>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17 - 19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</si>
  <si>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2569/01010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</si>
  <si>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2569/01013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</si>
  <si>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69/16631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</si>
  <si>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69/16716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</si>
  <si>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</si>
  <si>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</si>
  <si>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2569/01014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</si>
  <si>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2569/01016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</si>
  <si>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69/16717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</si>
  <si>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69/16795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</si>
  <si>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</si>
  <si>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</si>
  <si>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2569/01017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</si>
  <si>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2569/01019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</si>
  <si>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69/16796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</si>
  <si>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69/16855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</si>
  <si>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</si>
  <si>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2569/01020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</si>
  <si>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2569/01030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</si>
  <si>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69/16856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</si>
  <si>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69/16916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</si>
  <si>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</si>
  <si>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2569/01031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</si>
  <si>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2569/01033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</si>
  <si>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69/16917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</si>
  <si>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69/16999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</si>
  <si>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</si>
  <si>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24 - 26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</si>
  <si>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2569/01034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</si>
  <si>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2569/01036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</si>
  <si>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69/17000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</si>
  <si>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69/17111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</si>
  <si>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</si>
  <si>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2569/01037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</si>
  <si>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2569/01040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</si>
  <si>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69/17112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</si>
  <si>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69/17173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</si>
  <si>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</si>
  <si>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2569/01041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</si>
  <si>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69/17174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</si>
  <si>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69/17237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</si>
  <si>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</si>
  <si>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2569/01042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</si>
  <si>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2569/01049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</si>
  <si>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69/17238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</si>
  <si>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69/17297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</si>
  <si>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</si>
  <si>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2569/01050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</si>
  <si>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2569/01056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</si>
  <si>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69/17298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</si>
  <si>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69/17386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</si>
  <si>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</si>
  <si>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พฤษภาคม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</si>
  <si>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1 - 4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</si>
  <si>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2569/01057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</si>
  <si>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2569/01058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</si>
  <si>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69/17387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</si>
  <si>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69/17430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</si>
  <si>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</si>
  <si>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2569/01059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</si>
  <si>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2569/01085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</si>
  <si>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69/17431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</si>
  <si>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69/17486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</si>
  <si>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</si>
  <si>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2569/01086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</si>
  <si>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2569/01090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</si>
  <si>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69/17487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</si>
  <si>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69/17547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</si>
  <si>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</si>
  <si>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69/17548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</si>
  <si>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69/17602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</si>
  <si>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</si>
  <si>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8 - 10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</si>
  <si>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2569/01091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</si>
  <si>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69/17603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</si>
  <si>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69/17677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</si>
  <si>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</si>
  <si>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2569/01092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</si>
  <si>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2569/01093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</si>
  <si>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69/17678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</si>
  <si>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69/17732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</si>
  <si>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</si>
  <si>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12 - 13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</si>
  <si>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2569/01094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</si>
  <si>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2569/01099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</si>
  <si>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69/17733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</si>
  <si>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69/17787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</si>
  <si>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</si>
  <si>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2569/01100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</si>
  <si>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2569/01105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</si>
  <si>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69/17788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</si>
  <si>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69/17836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</si>
  <si>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</si>
  <si>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15 - 17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</si>
  <si>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2569/01106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</si>
  <si>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2569/01115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</si>
  <si>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69/17837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</si>
  <si>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69/17888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</si>
  <si>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</si>
  <si>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2569/01116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</si>
  <si>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2569/01117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</si>
  <si>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69/17889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</si>
  <si>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69/17927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</si>
  <si>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</si>
  <si>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2569/01118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</si>
  <si>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2569/01120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</si>
  <si>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69/17928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</si>
  <si>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69/17964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</si>
  <si>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</si>
  <si>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2569/01121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</si>
  <si>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2569/01124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</si>
  <si>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69/17965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</si>
  <si>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69/18034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</si>
  <si>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</si>
  <si>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2569/01125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</si>
  <si>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2569/01126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</si>
  <si>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69/18035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</si>
  <si>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69/18076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</si>
  <si>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</si>
  <si>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22 - 24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</si>
  <si>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2569/01127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</si>
  <si>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2569/01128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</si>
  <si>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69/18077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</si>
  <si>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69/18122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</si>
  <si>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</si>
  <si>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2569/01129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</si>
  <si>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2569/01134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</si>
  <si>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69/18123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</si>
  <si>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69/18178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</si>
  <si>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</si>
  <si>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2569/01135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</si>
  <si>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2569/01136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</si>
  <si>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69/18179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</si>
  <si>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69/18214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</si>
  <si>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</si>
  <si>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2569/01137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</si>
  <si>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2569/01142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</si>
  <si>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69/18215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</si>
  <si>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69/18251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</si>
  <si>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</si>
  <si>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2569/01143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</si>
  <si>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69/18252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</si>
  <si>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69/18270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</si>
  <si>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</si>
  <si>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มิถุนายน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</si>
  <si>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- 1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</si>
  <si>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2569/01144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</si>
  <si>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2569/01145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</si>
  <si>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69/18271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</si>
  <si>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69/18319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</si>
  <si>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</si>
  <si>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2 - 3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</si>
  <si>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2569/01146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</si>
  <si>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69/18320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</si>
  <si>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69/18369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</si>
  <si>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</si>
  <si>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2569/01147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</si>
  <si>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2569/01149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</si>
  <si>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69/18370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</si>
  <si>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69/18397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</si>
  <si>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</si>
  <si>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5 - 7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</si>
  <si>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2569/01150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</si>
  <si>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2569/01153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</si>
  <si>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69/18398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</si>
  <si>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69/18434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</si>
  <si>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</si>
  <si>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2569/01154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</si>
  <si>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2569/01158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</si>
  <si>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69/18435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</si>
  <si>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69/18461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</si>
  <si>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</si>
  <si>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2569/01159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</si>
  <si>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69/18462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</si>
  <si>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69/18494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</si>
  <si>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</si>
  <si>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2569/01160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</si>
  <si>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</si>
  <si>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69/18495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</si>
  <si>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69/18525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</si>
  <si>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</si>
  <si>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</si>
  <si>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2569/01178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</si>
  <si>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69/18526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</si>
  <si>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69/18547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</si>
  <si>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</si>
  <si>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12 - 14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</si>
  <si>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2569/01179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</si>
  <si>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2569/01183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</si>
  <si>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69/18548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</si>
  <si>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69/18580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</si>
  <si>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</si>
  <si>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2569/01184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</si>
  <si>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69/18581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</si>
  <si>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69/18614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</si>
  <si>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</si>
  <si>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2569/01185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</si>
  <si>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2569/01189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</si>
  <si>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69/18615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</si>
  <si>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69/18656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</si>
  <si>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</si>
  <si>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2569/01190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</si>
  <si>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2569/01193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</si>
  <si>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69/18657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</si>
  <si>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69/18678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</si>
  <si>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</si>
  <si>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2569/01194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</si>
  <si>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2569/01198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</si>
  <si>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69/18679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</si>
  <si>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69/18701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</si>
  <si>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</si>
  <si>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19 - 21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</si>
  <si>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2569/01199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</si>
  <si>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2569/01201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</si>
  <si>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69/18702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</si>
  <si>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69/18750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</si>
  <si>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</si>
  <si>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2569/01202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</si>
  <si>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2569/01204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</si>
  <si>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69/18751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</si>
  <si>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69/18788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</si>
  <si>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</si>
  <si>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2569/01205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</si>
  <si>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2569/01211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</si>
  <si>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69/18789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</si>
  <si>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69/18821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</si>
  <si>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</si>
  <si>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2569/01212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</si>
  <si>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2569/01213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</si>
  <si>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69/18822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</si>
  <si>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69/18837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</si>
  <si>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</si>
  <si>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2569/01214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</si>
  <si>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2569/01232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</si>
  <si>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69/18838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</si>
  <si>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69/18873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</si>
  <si>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</si>
  <si>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26 - 28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</si>
  <si>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2569/01233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</si>
  <si>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2569/01236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</si>
  <si>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69/18874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</si>
  <si>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69/18898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</si>
  <si>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</si>
  <si>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2569/01237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</si>
  <si>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2569/01238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</si>
  <si>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69/18899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</si>
  <si>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69/18928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</si>
  <si>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</si>
  <si>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2569/01239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</si>
  <si>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2569/01245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</si>
  <si>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69/18929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</si>
  <si>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69/18958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</si>
  <si>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</si>
  <si>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กรกฎาคม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</si>
  <si>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2569/01246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</si>
  <si>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2569/01253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</si>
  <si>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69/18959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</si>
  <si>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69/18975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</si>
  <si>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</si>
  <si>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2569/01254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</si>
  <si>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2569/01257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</si>
  <si>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69/18976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</si>
  <si>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69/19009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</si>
  <si>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</si>
  <si>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3 - 5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</si>
  <si>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2569/01258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</si>
  <si>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2569/01262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</si>
  <si>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69/19010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</si>
  <si>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69/19047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</si>
  <si>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</si>
  <si>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2569/01263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</si>
  <si>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2569/01268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</si>
  <si>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69/19048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</si>
  <si>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69/19071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</si>
  <si>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</si>
  <si>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</si>
  <si>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2569/01271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</si>
  <si>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69/19072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</si>
  <si>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69/19098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</si>
  <si>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</si>
  <si>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2569/01272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</si>
  <si>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2569/01274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</si>
  <si>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69/19099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</si>
  <si>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69/19134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</si>
  <si>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</si>
  <si>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2569/01275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</si>
  <si>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2569/01276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</si>
  <si>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69/19135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</si>
  <si>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69/19157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</si>
  <si>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</si>
  <si>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10 - 12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</si>
  <si>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2569/01277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</si>
  <si>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2569/01279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</si>
  <si>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69/19158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</si>
  <si>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69/19198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</si>
  <si>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</si>
  <si>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2569/01280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</si>
  <si>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2569/01281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</si>
  <si>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69/19199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</si>
  <si>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69/19242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</si>
  <si>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</si>
  <si>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2569/01282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</si>
  <si>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2569/01285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</si>
  <si>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69/19243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</si>
  <si>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69/19286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</si>
  <si>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</si>
  <si>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2569/01286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</si>
  <si>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69/19287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</si>
  <si>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69/19326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</si>
  <si>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</si>
  <si>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2569/01287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</si>
  <si>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2569/01288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</si>
  <si>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69/19327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</si>
  <si>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69/19345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</si>
  <si>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</si>
  <si>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17 - 19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</si>
  <si>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2569/01289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</si>
  <si>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2569/01293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</si>
  <si>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69/19346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</si>
  <si>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69/19383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</si>
  <si>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</si>
  <si>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2569/01294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</si>
  <si>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2569/01302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</si>
  <si>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69/19384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</si>
  <si>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69/19401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</si>
  <si>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</si>
  <si>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2569/01303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</si>
  <si>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2569/01304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</si>
  <si>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69/19402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</si>
  <si>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69/19419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</si>
  <si>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</si>
  <si>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2569/01305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</si>
  <si>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2569/01306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</si>
  <si>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69/19420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</si>
  <si>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69/19437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</si>
  <si>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</si>
  <si>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2569/01307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</si>
  <si>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2569/01308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</si>
  <si>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69/19438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</si>
  <si>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69/19466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</si>
  <si>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</si>
  <si>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24 - 26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</si>
  <si>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2569/01309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</si>
  <si>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2569/01317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</si>
  <si>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69/19467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</si>
  <si>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69/19494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</si>
  <si>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</si>
  <si>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27 - 30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</si>
  <si>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2569/01318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</si>
  <si>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2569/01323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</si>
  <si>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69/19495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</si>
  <si>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69/19435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</si>
  <si>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</si>
  <si>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สิงหาคม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</si>
  <si>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- 2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</si>
  <si>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2569/01324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</si>
  <si>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2569/01325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</si>
  <si>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69/19536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</si>
  <si>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69/19555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</si>
  <si>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</si>
  <si>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2569/01326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</si>
  <si>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69/19556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</si>
  <si>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69/19576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</si>
  <si>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</si>
  <si>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2569/01327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</si>
  <si>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2569/01331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</si>
  <si>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69/19577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</si>
  <si>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69/19597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</si>
  <si>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</si>
  <si>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2569/01332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</si>
  <si>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69/19598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</si>
  <si>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69/19611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</si>
  <si>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</si>
  <si>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69/19612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</si>
  <si>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69/19628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</si>
  <si>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</si>
  <si>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7 - 9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</si>
  <si>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2569/01333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</si>
  <si>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2569/01337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</si>
  <si>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69/19629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</si>
  <si>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69/19642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</si>
  <si>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</si>
  <si>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2569/01338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</si>
  <si>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2569/01341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</si>
  <si>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69/19643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</si>
  <si>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69/19660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</si>
  <si>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</si>
  <si>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11 - 12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</si>
  <si>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2569/01342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</si>
  <si>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2569/01345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</si>
  <si>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69/19661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</si>
  <si>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69/19685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</si>
  <si>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</si>
  <si>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2569/01346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</si>
  <si>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2569/01349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</si>
  <si>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69/19686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</si>
  <si>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69/19710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</si>
  <si>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</si>
  <si>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14 - 16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</si>
  <si>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2569/01350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</si>
  <si>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2569/01362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</si>
  <si>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69/19711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</si>
  <si>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69/19764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</si>
  <si>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</si>
  <si>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2569/01363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</si>
  <si>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2569/01365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</si>
  <si>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69/13765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</si>
  <si>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69/19803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</si>
  <si>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</si>
  <si>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25669/01366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</si>
  <si>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2569/01371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</si>
  <si>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69/19804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</si>
  <si>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69/19829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</si>
  <si>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</si>
  <si>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2569/01372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</si>
  <si>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2569/01373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</si>
  <si>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2569/01374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</si>
  <si>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69/19830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</si>
  <si>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69/19851</t>
    </r>
  </si>
  <si>
    <t xml:space="preserve">เนื่องจากอัพโหลดผิดไฟล์</t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</si>
  <si>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</si>
  <si>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2569/01375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</si>
  <si>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2569/01376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</si>
  <si>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69/19852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</si>
  <si>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69/19875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</si>
  <si>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</si>
  <si>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21 - 23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</si>
  <si>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2569/01377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</si>
  <si>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69/19876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</si>
  <si>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69/19909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</si>
  <si>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</si>
  <si>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2569/01378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</si>
  <si>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2569/01381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</si>
  <si>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69/19910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</si>
  <si>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69/19942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</si>
  <si>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</si>
  <si>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2569/01382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</si>
  <si>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2569/01387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</si>
  <si>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69/19943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</si>
  <si>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69/19975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</si>
  <si>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</si>
  <si>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2569/01388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</si>
  <si>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2569/01394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</si>
  <si>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69/19976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</si>
  <si>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69/20017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</si>
  <si>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</si>
  <si>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2569/01395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</si>
  <si>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2569/01403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</si>
  <si>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69/20018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</si>
  <si>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69/20059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</si>
  <si>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</si>
  <si>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28 - 30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</si>
  <si>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2569/01404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</si>
  <si>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2569/01405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</si>
  <si>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69/20060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</si>
  <si>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69/20089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</si>
  <si>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</si>
  <si>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2569/01406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</si>
  <si>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2569/01409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</si>
  <si>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69/20090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</si>
  <si>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69/20122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</si>
  <si>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</si>
  <si>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กันยายน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</si>
  <si>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2569/01410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</si>
  <si>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2569/01411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</si>
  <si>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69/20123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</si>
  <si>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69/20149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</si>
  <si>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</si>
  <si>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2569/01412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</si>
  <si>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2569/01414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</si>
  <si>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69/20150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</si>
  <si>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69/20169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</si>
  <si>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</si>
  <si>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2569/01415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</si>
  <si>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2569/01420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</si>
  <si>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69/20170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</si>
  <si>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69/20182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</si>
  <si>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</si>
  <si>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4 - 6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</si>
  <si>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2569/01421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</si>
  <si>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2569/01422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</si>
  <si>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69/20183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</si>
  <si>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69/20207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</si>
  <si>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</si>
  <si>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2569/01423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</si>
  <si>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69/20208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</si>
  <si>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69/20224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</si>
  <si>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</si>
  <si>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2569/01424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</si>
  <si>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2569/01428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</si>
  <si>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69/20225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</si>
  <si>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69/20244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</si>
  <si>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</si>
  <si>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2569/01429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</si>
  <si>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2569/01430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</si>
  <si>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69/20245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</si>
  <si>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69/20261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</si>
  <si>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</si>
  <si>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2569/01431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</si>
  <si>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69/20262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</si>
  <si>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69/20272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</si>
  <si>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</si>
  <si>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11 - 13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</si>
  <si>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2569/01432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</si>
  <si>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69/20273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</si>
  <si>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69/20288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</si>
  <si>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</si>
  <si>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</si>
  <si>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2569/01433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</si>
  <si>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2569/01438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</si>
  <si>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69/20289</t>
    </r>
  </si>
  <si>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69/20298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</si>
  <si>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</si>
  <si>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</si>
  <si>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</si>
  <si>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</si>
  <si>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18 - 20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</si>
  <si>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</si>
  <si>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</si>
  <si>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</si>
  <si>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</si>
  <si>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25 - 27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</si>
  <si>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</si>
  <si>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</si>
  <si>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</si>
  <si>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b val="true"/>
        <sz val="25"/>
        <color theme="1"/>
        <rFont val="Arial"/>
        <family val="0"/>
        <charset val="1"/>
      </rPr>
      <t xml:space="preserve">รายงานการรับชำระค่าธรรมเนียมผ่านธนาคาร </t>
    </r>
    <r>
      <rPr>
        <b val="true"/>
        <sz val="25"/>
        <color theme="1"/>
        <rFont val="TH SarabunPSK"/>
        <family val="0"/>
        <charset val="1"/>
      </rPr>
      <t xml:space="preserve">2569</t>
    </r>
  </si>
  <si>
    <t xml:space="preserve">เดือน</t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</si>
  <si>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Receipt  </t>
    </r>
  </si>
  <si>
    <r>
      <rPr>
        <b val="true"/>
        <sz val="16"/>
        <color theme="1"/>
        <rFont val="Arial"/>
        <family val="0"/>
        <charset val="1"/>
      </rPr>
      <t xml:space="preserve">รวม </t>
    </r>
    <r>
      <rPr>
        <b val="true"/>
        <sz val="16"/>
        <color theme="1"/>
        <rFont val="TH SarabunPSK"/>
        <family val="0"/>
        <charset val="1"/>
      </rPr>
      <t xml:space="preserve">3 </t>
    </r>
    <r>
      <rPr>
        <b val="true"/>
        <sz val="16"/>
        <color theme="1"/>
        <rFont val="Arial"/>
        <family val="0"/>
        <charset val="1"/>
      </rPr>
      <t xml:space="preserve">ช่องทาง</t>
    </r>
  </si>
  <si>
    <r>
      <rPr>
        <b val="true"/>
        <sz val="16"/>
        <color theme="1"/>
        <rFont val="Arial"/>
        <family val="0"/>
        <charset val="1"/>
      </rPr>
      <t xml:space="preserve">ต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.68</t>
    </r>
  </si>
  <si>
    <r>
      <rPr>
        <b val="true"/>
        <sz val="16"/>
        <color theme="1"/>
        <rFont val="Arial"/>
        <family val="0"/>
        <charset val="1"/>
      </rPr>
      <t xml:space="preserve">พ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.68</t>
    </r>
  </si>
  <si>
    <r>
      <rPr>
        <b val="true"/>
        <sz val="16"/>
        <color theme="1"/>
        <rFont val="Arial"/>
        <family val="0"/>
        <charset val="1"/>
      </rPr>
      <t xml:space="preserve">ธ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.68</t>
    </r>
  </si>
  <si>
    <r>
      <rPr>
        <b val="true"/>
        <sz val="16"/>
        <color theme="1"/>
        <rFont val="Arial"/>
        <family val="0"/>
        <charset val="1"/>
      </rPr>
      <t xml:space="preserve">ม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</si>
  <si>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ก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พ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</si>
  <si>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มี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</si>
  <si>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เม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</si>
  <si>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พ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</si>
  <si>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มิ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</si>
  <si>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ก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</si>
  <si>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ส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</si>
  <si>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ก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.69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</si>
</sst>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@"/>
    <numFmt numFmtId="167" formatCode="#,##0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rial"/>
      <family val="0"/>
      <charset val="1"/>
    </font>
    <font>
      <b val="true"/>
      <sz val="18"/>
      <color theme="1"/>
      <name val="TH SarabunPSK"/>
      <family val="0"/>
      <charset val="1"/>
    </font>
    <font>
      <sz val="16"/>
      <color theme="1"/>
      <name val="TH SarabunPSK"/>
      <family val="0"/>
      <charset val="1"/>
    </font>
    <font>
      <b val="true"/>
      <sz val="16"/>
      <color theme="1"/>
      <name val="Arial"/>
      <family val="0"/>
      <charset val="1"/>
    </font>
    <font>
      <b val="true"/>
      <sz val="16"/>
      <color theme="1"/>
      <name val="TH SarabunPSK"/>
      <family val="0"/>
      <charset val="1"/>
    </font>
    <font>
      <sz val="16"/>
      <color theme="1"/>
      <name val="Arial"/>
      <family val="0"/>
      <charset val="1"/>
    </font>
    <font>
      <sz val="16"/>
      <color rgb="FFFF0000"/>
      <name val="TH SarabunPSK"/>
      <family val="0"/>
      <charset val="1"/>
    </font>
    <font>
      <sz val="12"/>
      <color rgb="FFFF0000"/>
      <name val="Arial"/>
      <family val="0"/>
      <charset val="1"/>
    </font>
    <font>
      <sz val="12"/>
      <color rgb="FFFF0000"/>
      <name val="TH SarabunPSK"/>
      <family val="0"/>
      <charset val="1"/>
    </font>
    <font>
      <b val="true"/>
      <u val="single"/>
      <sz val="16"/>
      <color theme="1"/>
      <name val="TH SarabunPSK"/>
      <family val="0"/>
      <charset val="1"/>
    </font>
    <font>
      <b val="true"/>
      <sz val="16"/>
      <color rgb="FFFF0000"/>
      <name val="TH SarabunPSK"/>
      <family val="0"/>
      <charset val="1"/>
    </font>
    <font>
      <sz val="9"/>
      <color rgb="FFFF0000"/>
      <name val="TH SarabunPSK"/>
      <family val="0"/>
      <charset val="1"/>
    </font>
    <font>
      <sz val="9"/>
      <color rgb="FFFF0000"/>
      <name val="Arial"/>
      <family val="0"/>
      <charset val="1"/>
    </font>
    <font>
      <sz val="11"/>
      <color rgb="FFFF0000"/>
      <name val="TH SarabunPSK"/>
      <family val="0"/>
      <charset val="1"/>
    </font>
    <font>
      <sz val="11"/>
      <color rgb="FFFF0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25"/>
      <color theme="1"/>
      <name val="Arial"/>
      <family val="0"/>
      <charset val="1"/>
    </font>
    <font>
      <b val="true"/>
      <sz val="25"/>
      <color theme="1"/>
      <name val="TH SarabunPSK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FFE599"/>
        <bgColor rgb="FFFFE6CB"/>
      </patternFill>
    </fill>
    <fill>
      <patternFill patternType="solid">
        <fgColor rgb="FFA7E3F5"/>
        <bgColor rgb="FF92CDDC"/>
      </patternFill>
    </fill>
    <fill>
      <patternFill patternType="solid">
        <fgColor rgb="FFFFD966"/>
        <bgColor rgb="FFFFE599"/>
      </patternFill>
    </fill>
    <fill>
      <patternFill patternType="solid">
        <fgColor rgb="FFF6B26B"/>
        <bgColor rgb="FFFFA8A8"/>
      </patternFill>
    </fill>
    <fill>
      <patternFill patternType="solid">
        <fgColor rgb="FF93C47D"/>
        <bgColor rgb="FFB6D7A8"/>
      </patternFill>
    </fill>
    <fill>
      <patternFill patternType="solid">
        <fgColor rgb="FFFFA8A8"/>
        <bgColor rgb="FFF6B26B"/>
      </patternFill>
    </fill>
    <fill>
      <patternFill patternType="solid">
        <fgColor rgb="FFB4A7D6"/>
        <bgColor rgb="FF9FC5E8"/>
      </patternFill>
    </fill>
    <fill>
      <patternFill patternType="solid">
        <fgColor rgb="FF9FC5E8"/>
        <bgColor rgb="FF92CDDC"/>
      </patternFill>
    </fill>
    <fill>
      <patternFill patternType="solid">
        <fgColor rgb="FF92CDDC"/>
        <bgColor rgb="FF9FC5E8"/>
      </patternFill>
    </fill>
    <fill>
      <patternFill patternType="solid">
        <fgColor rgb="FFE1F8FF"/>
        <bgColor rgb="FFFFFAEB"/>
      </patternFill>
    </fill>
    <fill>
      <patternFill patternType="solid">
        <fgColor rgb="FFFFFAEB"/>
        <bgColor rgb="FFE1F8FF"/>
      </patternFill>
    </fill>
    <fill>
      <patternFill patternType="solid">
        <fgColor rgb="FFFFE6CB"/>
        <bgColor rgb="FFFFD6D6"/>
      </patternFill>
    </fill>
    <fill>
      <patternFill patternType="solid">
        <fgColor rgb="FFD9EFCF"/>
        <bgColor rgb="FFE1F8FF"/>
      </patternFill>
    </fill>
    <fill>
      <patternFill patternType="solid">
        <fgColor rgb="FFFFD6D6"/>
        <bgColor rgb="FFFFE6CB"/>
      </patternFill>
    </fill>
    <fill>
      <patternFill patternType="solid">
        <fgColor rgb="FF6FA8DC"/>
        <bgColor rgb="FF92CDDC"/>
      </patternFill>
    </fill>
    <fill>
      <patternFill patternType="solid">
        <fgColor rgb="FFB6D7A8"/>
        <bgColor rgb="FF92CDDC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thin"/>
      <bottom style="thick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2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1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1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A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6FA8DC"/>
      <rgbColor rgb="FF993366"/>
      <rgbColor rgb="FFFFE6CB"/>
      <rgbColor rgb="FFE1F8FF"/>
      <rgbColor rgb="FF660066"/>
      <rgbColor rgb="FFF6B26B"/>
      <rgbColor rgb="FF0066CC"/>
      <rgbColor rgb="FFA7E3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D6D6"/>
      <rgbColor rgb="FFD9EFCF"/>
      <rgbColor rgb="FFFFD966"/>
      <rgbColor rgb="FF9FC5E8"/>
      <rgbColor rgb="FFFFA8A8"/>
      <rgbColor rgb="FFB4A7D6"/>
      <rgbColor rgb="FFFFE599"/>
      <rgbColor rgb="FF3366FF"/>
      <rgbColor rgb="FF92CDDC"/>
      <rgbColor rgb="FF99CC00"/>
      <rgbColor rgb="FFFFCC00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outlinePr summaryBelow="0"/>
    <pageSetUpPr fitToPage="true"/>
  </sheetPr>
  <dimension ref="A1:AA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1" min="11" style="0" width="13.5"/>
    <col min="2" max="2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1" min="21" style="0" width="18.13"/>
    <col collapsed="false" customWidth="true" hidden="true" outlineLevel="0" max="22" min="22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0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3" t="s">
        <v>11</v>
      </c>
      <c r="D4" s="14" t="s">
        <v>12</v>
      </c>
      <c r="E4" s="15" t="s">
        <v>13</v>
      </c>
      <c r="F4" s="15"/>
      <c r="G4" s="16" t="s">
        <v>14</v>
      </c>
      <c r="H4" s="17" t="s">
        <v>15</v>
      </c>
      <c r="I4" s="18" t="s">
        <v>11</v>
      </c>
      <c r="J4" s="18" t="s">
        <v>12</v>
      </c>
      <c r="K4" s="19" t="s">
        <v>16</v>
      </c>
      <c r="L4" s="19"/>
      <c r="M4" s="20" t="s">
        <v>17</v>
      </c>
      <c r="N4" s="21" t="s">
        <v>18</v>
      </c>
      <c r="O4" s="22" t="s">
        <v>14</v>
      </c>
      <c r="P4" s="23" t="s">
        <v>15</v>
      </c>
      <c r="Q4" s="23" t="s">
        <v>11</v>
      </c>
      <c r="R4" s="23" t="s">
        <v>12</v>
      </c>
      <c r="S4" s="24" t="s">
        <v>13</v>
      </c>
      <c r="T4" s="24"/>
      <c r="U4" s="9" t="s">
        <v>17</v>
      </c>
      <c r="V4" s="25" t="s">
        <v>18</v>
      </c>
      <c r="W4" s="20" t="s">
        <v>17</v>
      </c>
      <c r="X4" s="21" t="s">
        <v>18</v>
      </c>
      <c r="Y4" s="10"/>
      <c r="Z4" s="11"/>
      <c r="AA4" s="11"/>
    </row>
    <row r="5" customFormat="false" ht="19.7" hidden="false" customHeight="false" outlineLevel="0" collapsed="false">
      <c r="A5" s="4"/>
      <c r="B5" s="4"/>
      <c r="C5" s="13"/>
      <c r="D5" s="14"/>
      <c r="E5" s="14" t="s">
        <v>19</v>
      </c>
      <c r="F5" s="15" t="s">
        <v>20</v>
      </c>
      <c r="G5" s="16"/>
      <c r="H5" s="17"/>
      <c r="I5" s="17"/>
      <c r="J5" s="17"/>
      <c r="K5" s="17" t="s">
        <v>19</v>
      </c>
      <c r="L5" s="19" t="s">
        <v>20</v>
      </c>
      <c r="M5" s="20"/>
      <c r="N5" s="21"/>
      <c r="O5" s="22"/>
      <c r="P5" s="23"/>
      <c r="Q5" s="23"/>
      <c r="R5" s="23"/>
      <c r="S5" s="23" t="s">
        <v>11</v>
      </c>
      <c r="T5" s="24" t="s">
        <v>20</v>
      </c>
      <c r="U5" s="9"/>
      <c r="V5" s="25"/>
      <c r="W5" s="20"/>
      <c r="X5" s="21"/>
      <c r="Y5" s="10"/>
      <c r="Z5" s="11"/>
      <c r="AA5" s="11"/>
    </row>
    <row r="6" customFormat="false" ht="22.35" hidden="false" customHeight="false" outlineLevel="0" collapsed="false">
      <c r="A6" s="26" t="s">
        <v>21</v>
      </c>
      <c r="B6" s="26" t="s"/>
      <c r="C6" s="27" t="n">
        <v>7</v>
      </c>
      <c r="D6" s="28" t="n">
        <f aca="false">450+5770</f>
        <v>6220</v>
      </c>
      <c r="E6" s="29"/>
      <c r="F6" s="30"/>
      <c r="G6" s="31" t="s">
        <v>22</v>
      </c>
      <c r="H6" s="32" t="s">
        <v>23</v>
      </c>
      <c r="I6" s="32" t="n">
        <f aca="false">9+6</f>
        <v>15</v>
      </c>
      <c r="J6" s="33" t="n">
        <f aca="false">3400+3800</f>
        <v>7200</v>
      </c>
      <c r="K6" s="32"/>
      <c r="L6" s="34"/>
      <c r="M6" s="35" t="n">
        <f aca="false">SUM(C6,I6)</f>
        <v>22</v>
      </c>
      <c r="N6" s="36" t="n">
        <f aca="false">SUM(D6,J6)</f>
        <v>13420</v>
      </c>
      <c r="O6" s="37" t="s">
        <v>24</v>
      </c>
      <c r="P6" s="38" t="s">
        <v>25</v>
      </c>
      <c r="Q6" s="38" t="n">
        <v>23</v>
      </c>
      <c r="R6" s="39" t="n">
        <v>48338.11</v>
      </c>
      <c r="S6" s="40"/>
      <c r="T6" s="41"/>
      <c r="U6" s="42" t="e">
        <f aca="false">#REF!</f>
        <v>#REF!</v>
      </c>
      <c r="V6" s="43" t="n">
        <f aca="false">R6</f>
        <v>48338.11</v>
      </c>
      <c r="W6" s="35" t="n">
        <f aca="false">SUM(M6,Q6)</f>
        <v>45</v>
      </c>
      <c r="X6" s="44" t="n">
        <f aca="false">SUM(N6,R6)</f>
        <v>61758.11</v>
      </c>
      <c r="Y6" s="45"/>
      <c r="Z6" s="40" t="n">
        <v>1706</v>
      </c>
      <c r="AA6" s="40" t="s">
        <v>26</v>
      </c>
    </row>
    <row r="7" customFormat="false" ht="22.35" hidden="false" customHeight="false" outlineLevel="0" collapsed="false">
      <c r="A7" s="26" t="s">
        <v>27</v>
      </c>
      <c r="B7" s="26" t="s"/>
      <c r="C7" s="27" t="n">
        <v>3</v>
      </c>
      <c r="D7" s="28" t="n">
        <v>41300</v>
      </c>
      <c r="E7" s="29"/>
      <c r="F7" s="30"/>
      <c r="G7" s="31" t="s">
        <v>28</v>
      </c>
      <c r="H7" s="32" t="s">
        <v>29</v>
      </c>
      <c r="I7" s="32" t="n">
        <v>7</v>
      </c>
      <c r="J7" s="33" t="n">
        <v>3100</v>
      </c>
      <c r="K7" s="32"/>
      <c r="L7" s="34"/>
      <c r="M7" s="35" t="n">
        <f aca="false">SUM(C7,I7)</f>
        <v>10</v>
      </c>
      <c r="N7" s="36" t="n">
        <f aca="false">SUM(D7,J7)</f>
        <v>44400</v>
      </c>
      <c r="O7" s="37" t="s">
        <v>30</v>
      </c>
      <c r="P7" s="38" t="s">
        <v>31</v>
      </c>
      <c r="Q7" s="38" t="n">
        <v>15</v>
      </c>
      <c r="R7" s="39" t="n">
        <v>19621.58</v>
      </c>
      <c r="S7" s="40"/>
      <c r="T7" s="41"/>
      <c r="U7" s="42" t="e">
        <f aca="false">#REF!</f>
        <v>#REF!</v>
      </c>
      <c r="V7" s="43" t="n">
        <f aca="false">R7</f>
        <v>19621.58</v>
      </c>
      <c r="W7" s="35" t="n">
        <f aca="false">SUM(M7,Q7)</f>
        <v>25</v>
      </c>
      <c r="X7" s="44" t="n">
        <f aca="false">SUM(N7,R7)</f>
        <v>64021.58</v>
      </c>
      <c r="Y7" s="45"/>
      <c r="Z7" s="40" t="n">
        <v>1712</v>
      </c>
      <c r="AA7" s="40" t="s">
        <v>32</v>
      </c>
    </row>
    <row r="8" customFormat="false" ht="22.35" hidden="false" customHeight="false" outlineLevel="0" collapsed="false">
      <c r="A8" s="26" t="s">
        <v>32</v>
      </c>
      <c r="B8" s="26" t="s"/>
      <c r="C8" s="27" t="n">
        <v>2</v>
      </c>
      <c r="D8" s="28" t="n">
        <v>700</v>
      </c>
      <c r="E8" s="29"/>
      <c r="F8" s="30"/>
      <c r="G8" s="31" t="s">
        <v>33</v>
      </c>
      <c r="H8" s="32" t="s">
        <v>34</v>
      </c>
      <c r="I8" s="32" t="n">
        <v>17</v>
      </c>
      <c r="J8" s="33" t="n">
        <v>3400</v>
      </c>
      <c r="K8" s="32"/>
      <c r="L8" s="34"/>
      <c r="M8" s="35" t="n">
        <f aca="false">SUM(C8,I8)</f>
        <v>19</v>
      </c>
      <c r="N8" s="36" t="n">
        <f aca="false">SUM(D8,J8)</f>
        <v>4100</v>
      </c>
      <c r="O8" s="37" t="s">
        <v>35</v>
      </c>
      <c r="P8" s="38" t="s">
        <v>36</v>
      </c>
      <c r="Q8" s="38" t="n">
        <v>17</v>
      </c>
      <c r="R8" s="39" t="n">
        <v>34402.86</v>
      </c>
      <c r="S8" s="40"/>
      <c r="T8" s="41"/>
      <c r="U8" s="42" t="e">
        <f aca="false">#REF!</f>
        <v>#REF!</v>
      </c>
      <c r="V8" s="43" t="n">
        <f aca="false">R8</f>
        <v>34402.86</v>
      </c>
      <c r="W8" s="35" t="n">
        <f aca="false">SUM(M8,Q8)</f>
        <v>36</v>
      </c>
      <c r="X8" s="44" t="n">
        <f aca="false">SUM(N8,R8)</f>
        <v>38502.86</v>
      </c>
      <c r="Y8" s="45"/>
      <c r="Z8" s="40" t="n">
        <v>1718</v>
      </c>
      <c r="AA8" s="40" t="s">
        <v>37</v>
      </c>
    </row>
    <row r="9" customFormat="false" ht="22.35" hidden="false" customHeight="false" outlineLevel="0" collapsed="false">
      <c r="A9" s="26" t="s">
        <v>37</v>
      </c>
      <c r="B9" s="26" t="s"/>
      <c r="C9" s="27" t="s">
        <v>38</v>
      </c>
      <c r="D9" s="28" t="s">
        <v>38</v>
      </c>
      <c r="E9" s="29"/>
      <c r="F9" s="30"/>
      <c r="G9" s="31" t="s">
        <v>39</v>
      </c>
      <c r="H9" s="32" t="s">
        <v>40</v>
      </c>
      <c r="I9" s="32" t="n">
        <v>2</v>
      </c>
      <c r="J9" s="33" t="n">
        <v>400</v>
      </c>
      <c r="K9" s="32"/>
      <c r="L9" s="34"/>
      <c r="M9" s="35" t="n">
        <f aca="false">SUM(C9,I9)</f>
        <v>2</v>
      </c>
      <c r="N9" s="36" t="n">
        <f aca="false">SUM(D9,J9)</f>
        <v>400</v>
      </c>
      <c r="O9" s="37" t="s">
        <v>41</v>
      </c>
      <c r="P9" s="38" t="s">
        <v>42</v>
      </c>
      <c r="Q9" s="38" t="n">
        <v>3</v>
      </c>
      <c r="R9" s="39" t="n">
        <f aca="false">112200+1216.77</f>
        <v>113416.77</v>
      </c>
      <c r="S9" s="40"/>
      <c r="T9" s="41"/>
      <c r="U9" s="42" t="e">
        <f aca="false">#REF!</f>
        <v>#REF!</v>
      </c>
      <c r="V9" s="43" t="n">
        <f aca="false">R9</f>
        <v>113416.77</v>
      </c>
      <c r="W9" s="35" t="n">
        <f aca="false">SUM(M9,Q9)</f>
        <v>5</v>
      </c>
      <c r="X9" s="44" t="n">
        <f aca="false">SUM(N9,R9)</f>
        <v>113816.77</v>
      </c>
      <c r="Y9" s="45"/>
      <c r="Z9" s="40" t="n">
        <v>1724</v>
      </c>
      <c r="AA9" s="40" t="s">
        <v>43</v>
      </c>
    </row>
    <row r="10" customFormat="false" ht="22.35" hidden="false" customHeight="false" outlineLevel="0" collapsed="false">
      <c r="A10" s="26" t="s">
        <v>43</v>
      </c>
      <c r="B10" s="26" t="s"/>
      <c r="C10" s="27" t="n">
        <v>1</v>
      </c>
      <c r="D10" s="28" t="n">
        <v>3200</v>
      </c>
      <c r="E10" s="29"/>
      <c r="F10" s="30"/>
      <c r="G10" s="31" t="s">
        <v>44</v>
      </c>
      <c r="H10" s="32" t="s">
        <v>45</v>
      </c>
      <c r="I10" s="32" t="n">
        <v>4</v>
      </c>
      <c r="J10" s="33" t="n">
        <v>800</v>
      </c>
      <c r="K10" s="32"/>
      <c r="L10" s="34"/>
      <c r="M10" s="35" t="n">
        <f aca="false">SUM(C10,I10)</f>
        <v>5</v>
      </c>
      <c r="N10" s="36" t="n">
        <f aca="false">SUM(D10,J10)</f>
        <v>4000</v>
      </c>
      <c r="O10" s="37" t="s">
        <v>46</v>
      </c>
      <c r="P10" s="38" t="s">
        <v>47</v>
      </c>
      <c r="Q10" s="38" t="n">
        <v>13</v>
      </c>
      <c r="R10" s="39" t="n">
        <f aca="false">8500+11923.21</f>
        <v>20423.21</v>
      </c>
      <c r="S10" s="40"/>
      <c r="T10" s="41"/>
      <c r="U10" s="42" t="e">
        <f aca="false">#REF!</f>
        <v>#REF!</v>
      </c>
      <c r="V10" s="43" t="n">
        <f aca="false">R10</f>
        <v>20423.21</v>
      </c>
      <c r="W10" s="35" t="n">
        <f aca="false">SUM(M10,Q10)</f>
        <v>18</v>
      </c>
      <c r="X10" s="44" t="n">
        <f aca="false">SUM(N10,R10)</f>
        <v>24423.21</v>
      </c>
      <c r="Y10" s="45"/>
      <c r="Z10" s="40" t="n">
        <v>1730</v>
      </c>
      <c r="AA10" s="40" t="s">
        <v>48</v>
      </c>
    </row>
    <row r="11" customFormat="false" ht="22.35" hidden="false" customHeight="false" outlineLevel="0" collapsed="false">
      <c r="A11" s="26" t="s">
        <v>48</v>
      </c>
      <c r="B11" s="26" t="s"/>
      <c r="C11" s="27" t="n">
        <v>7</v>
      </c>
      <c r="D11" s="28" t="n">
        <v>3150</v>
      </c>
      <c r="E11" s="29"/>
      <c r="F11" s="30"/>
      <c r="G11" s="31" t="s">
        <v>49</v>
      </c>
      <c r="H11" s="32" t="s">
        <v>50</v>
      </c>
      <c r="I11" s="32" t="n">
        <v>4</v>
      </c>
      <c r="J11" s="33" t="n">
        <v>2800</v>
      </c>
      <c r="K11" s="32"/>
      <c r="L11" s="34"/>
      <c r="M11" s="35" t="n">
        <f aca="false">SUM(C11,I11)</f>
        <v>11</v>
      </c>
      <c r="N11" s="36" t="n">
        <f aca="false">SUM(D11,J11)</f>
        <v>5950</v>
      </c>
      <c r="O11" s="37" t="s">
        <v>51</v>
      </c>
      <c r="P11" s="38" t="s">
        <v>52</v>
      </c>
      <c r="Q11" s="38" t="n">
        <f aca="false">8+9</f>
        <v>17</v>
      </c>
      <c r="R11" s="39" t="n">
        <f aca="false">19000+14208.39</f>
        <v>33208.39</v>
      </c>
      <c r="S11" s="40"/>
      <c r="T11" s="41"/>
      <c r="U11" s="42" t="e">
        <f aca="false">#REF!</f>
        <v>#REF!</v>
      </c>
      <c r="V11" s="43" t="n">
        <f aca="false">R11</f>
        <v>33208.39</v>
      </c>
      <c r="W11" s="35" t="n">
        <f aca="false">SUM(M11,Q11)</f>
        <v>28</v>
      </c>
      <c r="X11" s="44" t="n">
        <f aca="false">SUM(N11,R11)</f>
        <v>39158.39</v>
      </c>
      <c r="Y11" s="45"/>
      <c r="Z11" s="40" t="n">
        <v>1737</v>
      </c>
      <c r="AA11" s="40" t="s">
        <v>53</v>
      </c>
    </row>
    <row r="12" customFormat="false" ht="22.35" hidden="false" customHeight="false" outlineLevel="0" collapsed="false">
      <c r="A12" s="26" t="s">
        <v>54</v>
      </c>
      <c r="B12" s="26" t="s"/>
      <c r="C12" s="27" t="n">
        <v>1</v>
      </c>
      <c r="D12" s="28" t="n">
        <v>800</v>
      </c>
      <c r="E12" s="29"/>
      <c r="F12" s="30"/>
      <c r="G12" s="31" t="s">
        <v>55</v>
      </c>
      <c r="H12" s="32" t="s">
        <v>56</v>
      </c>
      <c r="I12" s="32" t="n">
        <v>7</v>
      </c>
      <c r="J12" s="33" t="n">
        <f aca="false">4200+500</f>
        <v>4700</v>
      </c>
      <c r="K12" s="32"/>
      <c r="L12" s="34"/>
      <c r="M12" s="35" t="n">
        <f aca="false">SUM(C12,I12)</f>
        <v>8</v>
      </c>
      <c r="N12" s="36" t="n">
        <f aca="false">SUM(D12,J12)</f>
        <v>5500</v>
      </c>
      <c r="O12" s="37" t="s">
        <v>57</v>
      </c>
      <c r="P12" s="38" t="s">
        <v>58</v>
      </c>
      <c r="Q12" s="38" t="n">
        <v>14</v>
      </c>
      <c r="R12" s="39" t="n">
        <v>21737.15</v>
      </c>
      <c r="S12" s="40"/>
      <c r="T12" s="41"/>
      <c r="U12" s="42" t="e">
        <f aca="false">#REF!</f>
        <v>#REF!</v>
      </c>
      <c r="V12" s="43" t="n">
        <f aca="false">R12</f>
        <v>21737.15</v>
      </c>
      <c r="W12" s="35" t="n">
        <f aca="false">SUM(M12,Q12)</f>
        <v>22</v>
      </c>
      <c r="X12" s="44" t="n">
        <f aca="false">SUM(N12,R12)</f>
        <v>27237.15</v>
      </c>
      <c r="Y12" s="45"/>
      <c r="Z12" s="40" t="n">
        <v>1743</v>
      </c>
      <c r="AA12" s="40" t="s">
        <v>59</v>
      </c>
    </row>
    <row r="13" customFormat="false" ht="22.35" hidden="false" customHeight="false" outlineLevel="0" collapsed="false">
      <c r="A13" s="26" t="s">
        <v>59</v>
      </c>
      <c r="B13" s="26" t="s"/>
      <c r="C13" s="27" t="s">
        <v>38</v>
      </c>
      <c r="D13" s="28" t="s">
        <v>38</v>
      </c>
      <c r="E13" s="29"/>
      <c r="F13" s="30"/>
      <c r="G13" s="31" t="s">
        <v>60</v>
      </c>
      <c r="H13" s="32" t="s">
        <v>61</v>
      </c>
      <c r="I13" s="32" t="n">
        <v>2</v>
      </c>
      <c r="J13" s="33" t="n">
        <v>1200</v>
      </c>
      <c r="K13" s="32"/>
      <c r="L13" s="34"/>
      <c r="M13" s="35" t="n">
        <f aca="false">SUM(C13,I13)</f>
        <v>2</v>
      </c>
      <c r="N13" s="36" t="n">
        <f aca="false">SUM(D13,J13)</f>
        <v>1200</v>
      </c>
      <c r="O13" s="37" t="s">
        <v>62</v>
      </c>
      <c r="P13" s="38" t="s">
        <v>63</v>
      </c>
      <c r="Q13" s="38" t="n">
        <f aca="false">6+3</f>
        <v>9</v>
      </c>
      <c r="R13" s="39" t="n">
        <f aca="false">12600+4030.65</f>
        <v>16630.65</v>
      </c>
      <c r="S13" s="40"/>
      <c r="T13" s="41"/>
      <c r="U13" s="42" t="e">
        <f aca="false">#REF!</f>
        <v>#REF!</v>
      </c>
      <c r="V13" s="43" t="n">
        <f aca="false">R13</f>
        <v>16630.65</v>
      </c>
      <c r="W13" s="35" t="n">
        <f aca="false">SUM(M13,Q13)</f>
        <v>11</v>
      </c>
      <c r="X13" s="44" t="n">
        <f aca="false">SUM(N13,R13)</f>
        <v>17830.65</v>
      </c>
      <c r="Y13" s="45"/>
      <c r="Z13" s="40" t="n">
        <v>1751</v>
      </c>
      <c r="AA13" s="40" t="s">
        <v>64</v>
      </c>
    </row>
    <row r="14" customFormat="false" ht="22.35" hidden="false" customHeight="false" outlineLevel="0" collapsed="false">
      <c r="A14" s="26" t="s">
        <v>64</v>
      </c>
      <c r="B14" s="26" t="s"/>
      <c r="C14" s="27" t="n">
        <v>2</v>
      </c>
      <c r="D14" s="28" t="n">
        <v>4700</v>
      </c>
      <c r="E14" s="29"/>
      <c r="F14" s="30"/>
      <c r="G14" s="31" t="s">
        <v>65</v>
      </c>
      <c r="H14" s="46" t="s">
        <v>38</v>
      </c>
      <c r="I14" s="46" t="n">
        <v>1</v>
      </c>
      <c r="J14" s="33" t="n">
        <v>500</v>
      </c>
      <c r="K14" s="46"/>
      <c r="L14" s="34"/>
      <c r="M14" s="35" t="n">
        <f aca="false">SUM(C14,I14)</f>
        <v>3</v>
      </c>
      <c r="N14" s="36" t="n">
        <f aca="false">SUM(D14,J14)</f>
        <v>5200</v>
      </c>
      <c r="O14" s="37" t="s">
        <v>66</v>
      </c>
      <c r="P14" s="38" t="s">
        <v>67</v>
      </c>
      <c r="Q14" s="38" t="n">
        <v>7</v>
      </c>
      <c r="R14" s="39" t="n">
        <f aca="false">8600+2449.04</f>
        <v>11049.04</v>
      </c>
      <c r="S14" s="40"/>
      <c r="T14" s="41"/>
      <c r="U14" s="42" t="e">
        <f aca="false">#REF!</f>
        <v>#REF!</v>
      </c>
      <c r="V14" s="43" t="n">
        <f aca="false">R14</f>
        <v>11049.04</v>
      </c>
      <c r="W14" s="35" t="n">
        <f aca="false">SUM(M14,Q14)</f>
        <v>10</v>
      </c>
      <c r="X14" s="44" t="n">
        <f aca="false">SUM(N14,R14)</f>
        <v>16249.04</v>
      </c>
      <c r="Y14" s="45"/>
      <c r="Z14" s="40" t="n">
        <v>1758</v>
      </c>
      <c r="AA14" s="40" t="s">
        <v>68</v>
      </c>
    </row>
    <row r="15" customFormat="false" ht="22.35" hidden="false" customHeight="false" outlineLevel="0" collapsed="false">
      <c r="A15" s="26" t="s">
        <v>68</v>
      </c>
      <c r="B15" s="26" t="s"/>
      <c r="C15" s="27" t="s">
        <v>38</v>
      </c>
      <c r="D15" s="28" t="s">
        <v>38</v>
      </c>
      <c r="E15" s="29"/>
      <c r="F15" s="30"/>
      <c r="G15" s="31" t="s">
        <v>69</v>
      </c>
      <c r="H15" s="32" t="s">
        <v>70</v>
      </c>
      <c r="I15" s="46" t="n">
        <v>6</v>
      </c>
      <c r="J15" s="33" t="n">
        <v>3800</v>
      </c>
      <c r="K15" s="46"/>
      <c r="L15" s="34"/>
      <c r="M15" s="35" t="n">
        <f aca="false">SUM(C15,I15)</f>
        <v>6</v>
      </c>
      <c r="N15" s="36" t="n">
        <f aca="false">SUM(D15,J15)</f>
        <v>3800</v>
      </c>
      <c r="O15" s="37" t="s">
        <v>71</v>
      </c>
      <c r="P15" s="38" t="s">
        <v>72</v>
      </c>
      <c r="Q15" s="38" t="n">
        <f aca="false">5+4</f>
        <v>9</v>
      </c>
      <c r="R15" s="39" t="n">
        <f aca="false">10500+5981.92</f>
        <v>16481.92</v>
      </c>
      <c r="S15" s="40"/>
      <c r="T15" s="41"/>
      <c r="U15" s="42" t="e">
        <f aca="false">#REF!</f>
        <v>#REF!</v>
      </c>
      <c r="V15" s="43" t="n">
        <f aca="false">R15</f>
        <v>16481.92</v>
      </c>
      <c r="W15" s="35" t="n">
        <f aca="false">SUM(M15,Q15)</f>
        <v>15</v>
      </c>
      <c r="X15" s="44" t="n">
        <f aca="false">SUM(N15,R15)</f>
        <v>20281.92</v>
      </c>
      <c r="Y15" s="45"/>
      <c r="Z15" s="40" t="n">
        <v>1765</v>
      </c>
      <c r="AA15" s="40" t="s">
        <v>73</v>
      </c>
    </row>
    <row r="16" customFormat="false" ht="22.35" hidden="false" customHeight="false" outlineLevel="0" collapsed="false">
      <c r="A16" s="26" t="s">
        <v>74</v>
      </c>
      <c r="B16" s="26" t="s"/>
      <c r="C16" s="27" t="n">
        <v>2</v>
      </c>
      <c r="D16" s="28" t="n">
        <v>2000</v>
      </c>
      <c r="E16" s="29"/>
      <c r="F16" s="30"/>
      <c r="G16" s="31" t="s">
        <v>75</v>
      </c>
      <c r="H16" s="32" t="s">
        <v>76</v>
      </c>
      <c r="I16" s="46" t="n">
        <v>4</v>
      </c>
      <c r="J16" s="33" t="n">
        <f aca="false">1100+200</f>
        <v>1300</v>
      </c>
      <c r="K16" s="46"/>
      <c r="L16" s="34"/>
      <c r="M16" s="35" t="n">
        <f aca="false">SUM(C16,I16)</f>
        <v>6</v>
      </c>
      <c r="N16" s="36" t="n">
        <f aca="false">SUM(D16,J16)</f>
        <v>3300</v>
      </c>
      <c r="O16" s="37" t="s">
        <v>77</v>
      </c>
      <c r="P16" s="38" t="s">
        <v>78</v>
      </c>
      <c r="Q16" s="38" t="n">
        <v>8</v>
      </c>
      <c r="R16" s="39" t="n">
        <v>18222.71</v>
      </c>
      <c r="S16" s="40"/>
      <c r="T16" s="41"/>
      <c r="U16" s="42" t="e">
        <f aca="false">#REF!</f>
        <v>#REF!</v>
      </c>
      <c r="V16" s="43" t="n">
        <f aca="false">R16</f>
        <v>18222.71</v>
      </c>
      <c r="W16" s="35" t="n">
        <f aca="false">SUM(M16,Q16)</f>
        <v>14</v>
      </c>
      <c r="X16" s="44" t="n">
        <f aca="false">SUM(N16,R16)</f>
        <v>21522.71</v>
      </c>
      <c r="Y16" s="45"/>
      <c r="Z16" s="40" t="n">
        <v>1771</v>
      </c>
      <c r="AA16" s="40" t="s">
        <v>79</v>
      </c>
    </row>
    <row r="17" customFormat="false" ht="22.35" hidden="false" customHeight="false" outlineLevel="0" collapsed="false">
      <c r="A17" s="26" t="s">
        <v>79</v>
      </c>
      <c r="B17" s="26" t="s"/>
      <c r="C17" s="27" t="n">
        <v>1</v>
      </c>
      <c r="D17" s="28" t="n">
        <v>3200</v>
      </c>
      <c r="E17" s="29"/>
      <c r="F17" s="30"/>
      <c r="G17" s="31" t="s">
        <v>80</v>
      </c>
      <c r="H17" s="32" t="s">
        <v>81</v>
      </c>
      <c r="I17" s="46" t="n">
        <v>4</v>
      </c>
      <c r="J17" s="33" t="n">
        <v>2320</v>
      </c>
      <c r="K17" s="46"/>
      <c r="L17" s="34"/>
      <c r="M17" s="35" t="n">
        <f aca="false">SUM(C17,I17)</f>
        <v>5</v>
      </c>
      <c r="N17" s="36" t="n">
        <f aca="false">SUM(D17,J17)</f>
        <v>5520</v>
      </c>
      <c r="O17" s="37" t="s">
        <v>82</v>
      </c>
      <c r="P17" s="38" t="s">
        <v>83</v>
      </c>
      <c r="Q17" s="38" t="n">
        <v>13</v>
      </c>
      <c r="R17" s="39" t="n">
        <f aca="false">9400+13154.06</f>
        <v>22554.06</v>
      </c>
      <c r="S17" s="40"/>
      <c r="T17" s="41"/>
      <c r="U17" s="42" t="e">
        <f aca="false">#REF!</f>
        <v>#REF!</v>
      </c>
      <c r="V17" s="43" t="n">
        <f aca="false">R17</f>
        <v>22554.06</v>
      </c>
      <c r="W17" s="35" t="n">
        <f aca="false">SUM(M17,Q17)</f>
        <v>18</v>
      </c>
      <c r="X17" s="44" t="n">
        <f aca="false">SUM(N17,R17)</f>
        <v>28074.06</v>
      </c>
      <c r="Y17" s="45"/>
      <c r="Z17" s="40" t="n">
        <v>1777</v>
      </c>
      <c r="AA17" s="40" t="s">
        <v>84</v>
      </c>
    </row>
    <row r="18" customFormat="false" ht="22.35" hidden="false" customHeight="false" outlineLevel="0" collapsed="false">
      <c r="A18" s="26" t="s">
        <v>84</v>
      </c>
      <c r="B18" s="26" t="s"/>
      <c r="C18" s="27" t="s">
        <v>38</v>
      </c>
      <c r="D18" s="28" t="s">
        <v>38</v>
      </c>
      <c r="E18" s="29"/>
      <c r="F18" s="30"/>
      <c r="G18" s="31" t="s">
        <v>85</v>
      </c>
      <c r="H18" s="32" t="s">
        <v>86</v>
      </c>
      <c r="I18" s="46" t="n">
        <v>8</v>
      </c>
      <c r="J18" s="33" t="n">
        <v>4600</v>
      </c>
      <c r="K18" s="46"/>
      <c r="L18" s="34"/>
      <c r="M18" s="35" t="n">
        <f aca="false">SUM(C18,I18)</f>
        <v>8</v>
      </c>
      <c r="N18" s="36" t="n">
        <f aca="false">SUM(D18,J18)</f>
        <v>4600</v>
      </c>
      <c r="O18" s="37" t="s">
        <v>87</v>
      </c>
      <c r="P18" s="38" t="s">
        <v>88</v>
      </c>
      <c r="Q18" s="38" t="n">
        <v>22</v>
      </c>
      <c r="R18" s="39" t="n">
        <v>42161.53</v>
      </c>
      <c r="S18" s="40"/>
      <c r="T18" s="41"/>
      <c r="U18" s="42" t="e">
        <f aca="false">#REF!</f>
        <v>#REF!</v>
      </c>
      <c r="V18" s="43" t="n">
        <f aca="false">R18</f>
        <v>42161.53</v>
      </c>
      <c r="W18" s="35" t="n">
        <f aca="false">SUM(M18,Q18)</f>
        <v>30</v>
      </c>
      <c r="X18" s="44" t="n">
        <f aca="false">SUM(N18,R18)</f>
        <v>46761.53</v>
      </c>
      <c r="Y18" s="45"/>
      <c r="Z18" s="40" t="n">
        <v>1782</v>
      </c>
      <c r="AA18" s="40" t="s">
        <v>89</v>
      </c>
    </row>
    <row r="19" customFormat="false" ht="59.7" hidden="false" customHeight="false" outlineLevel="0" collapsed="false">
      <c r="A19" s="26" t="s">
        <v>90</v>
      </c>
      <c r="B19" s="26" t="s"/>
      <c r="C19" s="27" t="s">
        <v>38</v>
      </c>
      <c r="D19" s="28" t="s">
        <v>38</v>
      </c>
      <c r="E19" s="29"/>
      <c r="F19" s="30"/>
      <c r="G19" s="31" t="s">
        <v>91</v>
      </c>
      <c r="H19" s="32" t="s">
        <v>92</v>
      </c>
      <c r="I19" s="46" t="n">
        <v>7</v>
      </c>
      <c r="J19" s="33" t="n">
        <v>4420</v>
      </c>
      <c r="K19" s="46"/>
      <c r="L19" s="34"/>
      <c r="M19" s="35" t="n">
        <f aca="false">SUM(C19,I19)</f>
        <v>7</v>
      </c>
      <c r="N19" s="36" t="n">
        <f aca="false">SUM(D19,J19)</f>
        <v>4420</v>
      </c>
      <c r="O19" s="37" t="s">
        <v>93</v>
      </c>
      <c r="P19" s="38" t="s">
        <v>94</v>
      </c>
      <c r="Q19" s="38" t="n">
        <v>19</v>
      </c>
      <c r="R19" s="39" t="n">
        <v>41399.2</v>
      </c>
      <c r="S19" s="40"/>
      <c r="T19" s="41"/>
      <c r="U19" s="42" t="e">
        <f aca="false">#REF!</f>
        <v>#REF!</v>
      </c>
      <c r="V19" s="43" t="n">
        <f aca="false">R19</f>
        <v>41399.2</v>
      </c>
      <c r="W19" s="35" t="n">
        <f aca="false">SUM(M19,Q19)</f>
        <v>26</v>
      </c>
      <c r="X19" s="44" t="n">
        <f aca="false">SUM(N19,R19)</f>
        <v>45819.2</v>
      </c>
      <c r="Y19" s="47" t="s">
        <v>95</v>
      </c>
      <c r="Z19" s="40" t="n">
        <v>1791</v>
      </c>
      <c r="AA19" s="40" t="s">
        <v>96</v>
      </c>
    </row>
    <row r="20" customFormat="false" ht="22.35" hidden="false" customHeight="false" outlineLevel="0" collapsed="false">
      <c r="A20" s="26" t="s">
        <v>97</v>
      </c>
      <c r="B20" s="26" t="s"/>
      <c r="C20" s="27" t="n">
        <v>1</v>
      </c>
      <c r="D20" s="28" t="n">
        <v>450</v>
      </c>
      <c r="E20" s="29"/>
      <c r="F20" s="30"/>
      <c r="G20" s="31" t="s">
        <v>92</v>
      </c>
      <c r="H20" s="32" t="s">
        <v>98</v>
      </c>
      <c r="I20" s="46" t="n">
        <v>5</v>
      </c>
      <c r="J20" s="33" t="n">
        <f aca="false">800+500</f>
        <v>1300</v>
      </c>
      <c r="K20" s="46"/>
      <c r="L20" s="34"/>
      <c r="M20" s="35" t="n">
        <f aca="false">SUM(C20,I20)</f>
        <v>6</v>
      </c>
      <c r="N20" s="36" t="n">
        <f aca="false">SUM(D20,J20)</f>
        <v>1750</v>
      </c>
      <c r="O20" s="37" t="s">
        <v>99</v>
      </c>
      <c r="P20" s="38" t="s">
        <v>100</v>
      </c>
      <c r="Q20" s="38" t="n">
        <f aca="false">5+2+1</f>
        <v>8</v>
      </c>
      <c r="R20" s="39" t="n">
        <f aca="false">7900+2466.46+6170.97</f>
        <v>16537.43</v>
      </c>
      <c r="S20" s="40"/>
      <c r="T20" s="41"/>
      <c r="U20" s="42" t="e">
        <f aca="false">#REF!</f>
        <v>#REF!</v>
      </c>
      <c r="V20" s="43" t="n">
        <f aca="false">R20</f>
        <v>16537.43</v>
      </c>
      <c r="W20" s="35" t="n">
        <f aca="false">SUM(M20,Q20)</f>
        <v>14</v>
      </c>
      <c r="X20" s="44" t="n">
        <f aca="false">SUM(N20,R20)</f>
        <v>18287.43</v>
      </c>
      <c r="Y20" s="45"/>
      <c r="Z20" s="40" t="n">
        <v>1798</v>
      </c>
      <c r="AA20" s="40" t="s">
        <v>101</v>
      </c>
    </row>
    <row r="21" customFormat="false" ht="22.35" hidden="false" customHeight="false" outlineLevel="0" collapsed="false">
      <c r="A21" s="26" t="s">
        <v>101</v>
      </c>
      <c r="B21" s="26" t="s"/>
      <c r="C21" s="27" t="n">
        <v>3</v>
      </c>
      <c r="D21" s="28" t="n">
        <v>2780</v>
      </c>
      <c r="E21" s="29"/>
      <c r="F21" s="30"/>
      <c r="G21" s="32" t="s">
        <v>102</v>
      </c>
      <c r="H21" s="32" t="s">
        <v>103</v>
      </c>
      <c r="I21" s="46" t="n">
        <v>4</v>
      </c>
      <c r="J21" s="33" t="n">
        <v>800</v>
      </c>
      <c r="K21" s="46"/>
      <c r="L21" s="34"/>
      <c r="M21" s="35" t="n">
        <f aca="false">SUM(C21,I21)</f>
        <v>7</v>
      </c>
      <c r="N21" s="36" t="n">
        <f aca="false">SUM(D21,J21)</f>
        <v>3580</v>
      </c>
      <c r="O21" s="38" t="s">
        <v>104</v>
      </c>
      <c r="P21" s="38" t="s">
        <v>105</v>
      </c>
      <c r="Q21" s="38" t="n">
        <v>9</v>
      </c>
      <c r="R21" s="39" t="n">
        <v>18551.49</v>
      </c>
      <c r="S21" s="40"/>
      <c r="T21" s="41"/>
      <c r="U21" s="42" t="e">
        <f aca="false">#REF!</f>
        <v>#REF!</v>
      </c>
      <c r="V21" s="43" t="n">
        <f aca="false">R21</f>
        <v>18551.49</v>
      </c>
      <c r="W21" s="35" t="n">
        <f aca="false">SUM(M21,Q21)</f>
        <v>16</v>
      </c>
      <c r="X21" s="44" t="n">
        <f aca="false">SUM(N21,R21)</f>
        <v>22131.49</v>
      </c>
      <c r="Y21" s="47"/>
      <c r="Z21" s="40" t="n">
        <v>1806</v>
      </c>
      <c r="AA21" s="40" t="s">
        <v>106</v>
      </c>
    </row>
    <row r="22" customFormat="false" ht="22.35" hidden="false" customHeight="false" outlineLevel="0" collapsed="false">
      <c r="A22" s="26" t="s">
        <v>106</v>
      </c>
      <c r="B22" s="26" t="s"/>
      <c r="C22" s="27" t="n">
        <v>2</v>
      </c>
      <c r="D22" s="28" t="n">
        <v>700</v>
      </c>
      <c r="E22" s="29"/>
      <c r="F22" s="30"/>
      <c r="G22" s="32" t="s">
        <v>107</v>
      </c>
      <c r="H22" s="32" t="s">
        <v>108</v>
      </c>
      <c r="I22" s="46" t="n">
        <v>4</v>
      </c>
      <c r="J22" s="33" t="n">
        <v>3800</v>
      </c>
      <c r="K22" s="46"/>
      <c r="L22" s="34"/>
      <c r="M22" s="35" t="n">
        <f aca="false">SUM(C22,I22)</f>
        <v>6</v>
      </c>
      <c r="N22" s="36" t="n">
        <f aca="false">SUM(D22,J22)</f>
        <v>4500</v>
      </c>
      <c r="O22" s="38" t="s">
        <v>109</v>
      </c>
      <c r="P22" s="38" t="s">
        <v>110</v>
      </c>
      <c r="Q22" s="38" t="n">
        <v>12</v>
      </c>
      <c r="R22" s="39" t="n">
        <v>23705.5</v>
      </c>
      <c r="S22" s="40"/>
      <c r="T22" s="41"/>
      <c r="U22" s="42" t="e">
        <f aca="false">#REF!</f>
        <v>#REF!</v>
      </c>
      <c r="V22" s="43" t="n">
        <f aca="false">R22</f>
        <v>23705.5</v>
      </c>
      <c r="W22" s="35" t="n">
        <f aca="false">SUM(M22,Q22)</f>
        <v>18</v>
      </c>
      <c r="X22" s="44" t="n">
        <f aca="false">SUM(N22,R22)</f>
        <v>28205.5</v>
      </c>
      <c r="Y22" s="45"/>
      <c r="Z22" s="40" t="n">
        <v>1812</v>
      </c>
      <c r="AA22" s="40" t="s">
        <v>111</v>
      </c>
    </row>
    <row r="23" customFormat="false" ht="22.35" hidden="false" customHeight="false" outlineLevel="0" collapsed="false">
      <c r="A23" s="26" t="s">
        <v>111</v>
      </c>
      <c r="B23" s="26" t="s"/>
      <c r="C23" s="27" t="n">
        <v>1</v>
      </c>
      <c r="D23" s="28" t="n">
        <v>1000</v>
      </c>
      <c r="E23" s="29"/>
      <c r="F23" s="30"/>
      <c r="G23" s="31" t="s">
        <v>112</v>
      </c>
      <c r="H23" s="31" t="s">
        <v>113</v>
      </c>
      <c r="I23" s="46" t="n">
        <v>2</v>
      </c>
      <c r="J23" s="33" t="n">
        <v>700</v>
      </c>
      <c r="K23" s="46"/>
      <c r="L23" s="34"/>
      <c r="M23" s="35" t="n">
        <f aca="false">SUM(C23,I23)</f>
        <v>3</v>
      </c>
      <c r="N23" s="36" t="n">
        <f aca="false">SUM(D23,J23)</f>
        <v>1700</v>
      </c>
      <c r="O23" s="38" t="s">
        <v>114</v>
      </c>
      <c r="P23" s="38" t="s">
        <v>115</v>
      </c>
      <c r="Q23" s="38" t="n">
        <v>6</v>
      </c>
      <c r="R23" s="39" t="n">
        <v>12974.18</v>
      </c>
      <c r="S23" s="40"/>
      <c r="T23" s="41"/>
      <c r="U23" s="42" t="e">
        <f aca="false">#REF!</f>
        <v>#REF!</v>
      </c>
      <c r="V23" s="43" t="n">
        <f aca="false">R23</f>
        <v>12974.18</v>
      </c>
      <c r="W23" s="35" t="n">
        <f aca="false">SUM(M23,Q23)</f>
        <v>9</v>
      </c>
      <c r="X23" s="44" t="n">
        <f aca="false">SUM(N23,R23)</f>
        <v>14674.18</v>
      </c>
      <c r="Y23" s="45"/>
      <c r="Z23" s="40" t="n">
        <v>1819</v>
      </c>
      <c r="AA23" s="40" t="s">
        <v>116</v>
      </c>
    </row>
    <row r="24" customFormat="false" ht="22.35" hidden="false" customHeight="false" outlineLevel="0" collapsed="false">
      <c r="A24" s="26" t="s">
        <v>116</v>
      </c>
      <c r="B24" s="26" t="s"/>
      <c r="C24" s="27" t="n">
        <v>1</v>
      </c>
      <c r="D24" s="28" t="n">
        <v>200</v>
      </c>
      <c r="E24" s="29"/>
      <c r="F24" s="30"/>
      <c r="G24" s="31" t="s">
        <v>117</v>
      </c>
      <c r="H24" s="31" t="s">
        <v>118</v>
      </c>
      <c r="I24" s="46" t="n">
        <v>7</v>
      </c>
      <c r="J24" s="33" t="n">
        <v>1950</v>
      </c>
      <c r="K24" s="46"/>
      <c r="L24" s="34"/>
      <c r="M24" s="35" t="n">
        <f aca="false">SUM(C24,I24)</f>
        <v>8</v>
      </c>
      <c r="N24" s="36" t="n">
        <f aca="false">SUM(D24,J24)</f>
        <v>2150</v>
      </c>
      <c r="O24" s="38" t="s">
        <v>119</v>
      </c>
      <c r="P24" s="38" t="s">
        <v>120</v>
      </c>
      <c r="Q24" s="38" t="n">
        <v>8</v>
      </c>
      <c r="R24" s="39" t="n">
        <v>17288.35</v>
      </c>
      <c r="S24" s="40"/>
      <c r="T24" s="41"/>
      <c r="U24" s="42" t="e">
        <f aca="false">#REF!</f>
        <v>#REF!</v>
      </c>
      <c r="V24" s="43" t="n">
        <f aca="false">R24</f>
        <v>17288.35</v>
      </c>
      <c r="W24" s="35" t="n">
        <f aca="false">SUM(M24,Q24)</f>
        <v>16</v>
      </c>
      <c r="X24" s="44" t="n">
        <f aca="false">SUM(N24,R24)</f>
        <v>19438.35</v>
      </c>
      <c r="Y24" s="45"/>
      <c r="Z24" s="40" t="n">
        <v>1822</v>
      </c>
      <c r="AA24" s="40" t="s">
        <v>121</v>
      </c>
    </row>
    <row r="25" customFormat="false" ht="19.7" hidden="true" customHeight="false" outlineLevel="0" collapsed="false">
      <c r="A25" s="26"/>
      <c r="B25" s="26"/>
      <c r="C25" s="27"/>
      <c r="D25" s="28"/>
      <c r="E25" s="29"/>
      <c r="F25" s="30"/>
      <c r="G25" s="31"/>
      <c r="H25" s="46"/>
      <c r="I25" s="46"/>
      <c r="J25" s="33"/>
      <c r="K25" s="46"/>
      <c r="L25" s="34"/>
      <c r="M25" s="35" t="n">
        <f aca="false">SUM(C25,I25)</f>
        <v>0</v>
      </c>
      <c r="N25" s="36" t="n">
        <f aca="false">SUM(D25,J25)</f>
        <v>0</v>
      </c>
      <c r="O25" s="37"/>
      <c r="P25" s="38"/>
      <c r="Q25" s="38"/>
      <c r="R25" s="39"/>
      <c r="S25" s="40"/>
      <c r="T25" s="41"/>
      <c r="U25" s="42" t="e">
        <f aca="false">#REF!</f>
        <v>#REF!</v>
      </c>
      <c r="V25" s="43" t="n">
        <f aca="false">R25</f>
        <v>0</v>
      </c>
      <c r="W25" s="35" t="n">
        <f aca="false">SUM(M25,Q25)</f>
        <v>0</v>
      </c>
      <c r="X25" s="44" t="n">
        <f aca="false">SUM(N25,R25)</f>
        <v>0</v>
      </c>
      <c r="Y25" s="45"/>
      <c r="Z25" s="40"/>
      <c r="AA25" s="40"/>
    </row>
    <row r="26" customFormat="false" ht="19.7" hidden="true" customHeight="false" outlineLevel="0" collapsed="false">
      <c r="A26" s="48"/>
      <c r="B26" s="48"/>
      <c r="C26" s="49"/>
      <c r="D26" s="50"/>
      <c r="E26" s="51"/>
      <c r="F26" s="52"/>
      <c r="G26" s="53"/>
      <c r="H26" s="54"/>
      <c r="I26" s="55"/>
      <c r="J26" s="56"/>
      <c r="K26" s="55"/>
      <c r="L26" s="57"/>
      <c r="M26" s="35" t="n">
        <f aca="false">SUM(C26,I26)</f>
        <v>0</v>
      </c>
      <c r="N26" s="36" t="n">
        <f aca="false">SUM(D26,J26)</f>
        <v>0</v>
      </c>
      <c r="O26" s="58"/>
      <c r="P26" s="59"/>
      <c r="Q26" s="60"/>
      <c r="R26" s="61"/>
      <c r="S26" s="62"/>
      <c r="T26" s="63"/>
      <c r="U26" s="42"/>
      <c r="V26" s="64"/>
      <c r="W26" s="35" t="n">
        <f aca="false">SUM(M26,Q26)</f>
        <v>0</v>
      </c>
      <c r="X26" s="44" t="n">
        <f aca="false">SUM(N26,R26)</f>
        <v>0</v>
      </c>
      <c r="Y26" s="65"/>
      <c r="Z26" s="2"/>
      <c r="AA26" s="2"/>
    </row>
    <row r="27" customFormat="false" ht="19.7" hidden="true" customHeight="false" outlineLevel="0" collapsed="false">
      <c r="A27" s="48"/>
      <c r="B27" s="48"/>
      <c r="C27" s="49"/>
      <c r="D27" s="50"/>
      <c r="E27" s="51"/>
      <c r="F27" s="52"/>
      <c r="G27" s="53"/>
      <c r="H27" s="54"/>
      <c r="I27" s="55"/>
      <c r="J27" s="56"/>
      <c r="K27" s="55"/>
      <c r="L27" s="57"/>
      <c r="M27" s="35" t="n">
        <f aca="false">SUM(C27,I27)</f>
        <v>0</v>
      </c>
      <c r="N27" s="36" t="n">
        <f aca="false">SUM(D27,J27)</f>
        <v>0</v>
      </c>
      <c r="O27" s="58"/>
      <c r="P27" s="59"/>
      <c r="Q27" s="60"/>
      <c r="R27" s="61"/>
      <c r="S27" s="62"/>
      <c r="T27" s="63"/>
      <c r="U27" s="42"/>
      <c r="V27" s="64"/>
      <c r="W27" s="35" t="n">
        <f aca="false">SUM(M27,Q27)</f>
        <v>0</v>
      </c>
      <c r="X27" s="44" t="n">
        <f aca="false">SUM(N27,R27)</f>
        <v>0</v>
      </c>
      <c r="Y27" s="65"/>
      <c r="Z27" s="2"/>
      <c r="AA27" s="2"/>
    </row>
    <row r="28" customFormat="false" ht="19.7" hidden="true" customHeight="false" outlineLevel="0" collapsed="false">
      <c r="A28" s="48"/>
      <c r="B28" s="48"/>
      <c r="C28" s="49"/>
      <c r="D28" s="50"/>
      <c r="E28" s="51"/>
      <c r="F28" s="52"/>
      <c r="G28" s="53"/>
      <c r="H28" s="54"/>
      <c r="I28" s="55"/>
      <c r="J28" s="56"/>
      <c r="K28" s="55"/>
      <c r="L28" s="57"/>
      <c r="M28" s="35" t="n">
        <f aca="false">SUM(C28,I28)</f>
        <v>0</v>
      </c>
      <c r="N28" s="36" t="n">
        <f aca="false">SUM(D28,J28)</f>
        <v>0</v>
      </c>
      <c r="O28" s="58"/>
      <c r="P28" s="59"/>
      <c r="Q28" s="60"/>
      <c r="R28" s="61"/>
      <c r="S28" s="62"/>
      <c r="T28" s="63"/>
      <c r="U28" s="42"/>
      <c r="V28" s="64"/>
      <c r="W28" s="35" t="n">
        <f aca="false">SUM(M28,Q28)</f>
        <v>0</v>
      </c>
      <c r="X28" s="44" t="n">
        <f aca="false">SUM(N28,R28)</f>
        <v>0</v>
      </c>
      <c r="Y28" s="65"/>
      <c r="Z28" s="2"/>
      <c r="AA28" s="2"/>
    </row>
    <row r="29" customFormat="false" ht="19.7" hidden="true" customHeight="false" outlineLevel="0" collapsed="false">
      <c r="A29" s="48"/>
      <c r="B29" s="48"/>
      <c r="C29" s="49"/>
      <c r="D29" s="50"/>
      <c r="E29" s="51"/>
      <c r="F29" s="52"/>
      <c r="G29" s="53"/>
      <c r="H29" s="54"/>
      <c r="I29" s="55"/>
      <c r="J29" s="56"/>
      <c r="K29" s="55"/>
      <c r="L29" s="57"/>
      <c r="M29" s="35" t="n">
        <f aca="false">SUM(C29,I29)</f>
        <v>0</v>
      </c>
      <c r="N29" s="36" t="n">
        <f aca="false">SUM(D29,J29)</f>
        <v>0</v>
      </c>
      <c r="O29" s="58"/>
      <c r="P29" s="59"/>
      <c r="Q29" s="60"/>
      <c r="R29" s="61"/>
      <c r="S29" s="62"/>
      <c r="T29" s="63"/>
      <c r="U29" s="42"/>
      <c r="V29" s="64"/>
      <c r="W29" s="35" t="n">
        <f aca="false">SUM(M29,Q29)</f>
        <v>0</v>
      </c>
      <c r="X29" s="44" t="n">
        <f aca="false">SUM(N29,R29)</f>
        <v>0</v>
      </c>
      <c r="Y29" s="65"/>
      <c r="Z29" s="2"/>
      <c r="AA29" s="2"/>
    </row>
    <row r="30" customFormat="false" ht="19.7" hidden="true" customHeight="false" outlineLevel="0" collapsed="false">
      <c r="A30" s="48"/>
      <c r="B30" s="48"/>
      <c r="C30" s="49"/>
      <c r="D30" s="50"/>
      <c r="E30" s="51"/>
      <c r="F30" s="52"/>
      <c r="G30" s="53"/>
      <c r="H30" s="54"/>
      <c r="I30" s="55"/>
      <c r="J30" s="56"/>
      <c r="K30" s="55"/>
      <c r="L30" s="57"/>
      <c r="M30" s="35" t="n">
        <f aca="false">SUM(C30,I30)</f>
        <v>0</v>
      </c>
      <c r="N30" s="36" t="n">
        <f aca="false">SUM(D30,J30)</f>
        <v>0</v>
      </c>
      <c r="O30" s="58"/>
      <c r="P30" s="59"/>
      <c r="Q30" s="60"/>
      <c r="R30" s="61"/>
      <c r="S30" s="62"/>
      <c r="T30" s="63"/>
      <c r="U30" s="42"/>
      <c r="V30" s="64"/>
      <c r="W30" s="35" t="n">
        <f aca="false">SUM(M30,Q30)</f>
        <v>0</v>
      </c>
      <c r="X30" s="44" t="n">
        <f aca="false">SUM(N30,R30)</f>
        <v>0</v>
      </c>
      <c r="Y30" s="65"/>
      <c r="Z30" s="2"/>
      <c r="AA30" s="2"/>
    </row>
    <row r="31" customFormat="false" ht="19.7" hidden="true" customHeight="false" outlineLevel="0" collapsed="false">
      <c r="A31" s="48"/>
      <c r="B31" s="48"/>
      <c r="C31" s="49"/>
      <c r="D31" s="50"/>
      <c r="E31" s="51"/>
      <c r="F31" s="52"/>
      <c r="G31" s="53"/>
      <c r="H31" s="54"/>
      <c r="I31" s="55"/>
      <c r="J31" s="56"/>
      <c r="K31" s="55"/>
      <c r="L31" s="57"/>
      <c r="M31" s="35" t="n">
        <f aca="false">SUM(C31,I31)</f>
        <v>0</v>
      </c>
      <c r="N31" s="36" t="n">
        <f aca="false">SUM(D31,J31)</f>
        <v>0</v>
      </c>
      <c r="O31" s="58"/>
      <c r="P31" s="59"/>
      <c r="Q31" s="60"/>
      <c r="R31" s="61"/>
      <c r="S31" s="62"/>
      <c r="T31" s="63"/>
      <c r="U31" s="42"/>
      <c r="V31" s="64"/>
      <c r="W31" s="35" t="n">
        <f aca="false">SUM(M31,Q31)</f>
        <v>0</v>
      </c>
      <c r="X31" s="44" t="n">
        <f aca="false">SUM(N31,R31)</f>
        <v>0</v>
      </c>
      <c r="Y31" s="65"/>
      <c r="Z31" s="2"/>
      <c r="AA31" s="2"/>
    </row>
    <row r="32" customFormat="false" ht="19.7" hidden="true" customHeight="false" outlineLevel="0" collapsed="false">
      <c r="A32" s="48"/>
      <c r="B32" s="48"/>
      <c r="C32" s="49"/>
      <c r="D32" s="50"/>
      <c r="E32" s="51"/>
      <c r="F32" s="52"/>
      <c r="G32" s="53"/>
      <c r="H32" s="54"/>
      <c r="I32" s="55"/>
      <c r="J32" s="56"/>
      <c r="K32" s="55"/>
      <c r="L32" s="57"/>
      <c r="M32" s="35" t="n">
        <f aca="false">SUM(C32,I32)</f>
        <v>0</v>
      </c>
      <c r="N32" s="36" t="n">
        <f aca="false">SUM(D32,J32)</f>
        <v>0</v>
      </c>
      <c r="O32" s="58"/>
      <c r="P32" s="59"/>
      <c r="Q32" s="60"/>
      <c r="R32" s="61"/>
      <c r="S32" s="62"/>
      <c r="T32" s="63"/>
      <c r="U32" s="42"/>
      <c r="V32" s="64"/>
      <c r="W32" s="35" t="n">
        <f aca="false">SUM(M32,Q32)</f>
        <v>0</v>
      </c>
      <c r="X32" s="44" t="n">
        <f aca="false">SUM(N32,R32)</f>
        <v>0</v>
      </c>
      <c r="Y32" s="65"/>
      <c r="Z32" s="2"/>
      <c r="AA32" s="2"/>
    </row>
    <row r="33" customFormat="false" ht="19.7" hidden="true" customHeight="false" outlineLevel="0" collapsed="false">
      <c r="A33" s="48"/>
      <c r="B33" s="48"/>
      <c r="C33" s="49"/>
      <c r="D33" s="50"/>
      <c r="E33" s="51"/>
      <c r="F33" s="52"/>
      <c r="G33" s="53"/>
      <c r="H33" s="54"/>
      <c r="I33" s="55"/>
      <c r="J33" s="56"/>
      <c r="K33" s="55"/>
      <c r="L33" s="57"/>
      <c r="M33" s="35" t="n">
        <f aca="false">SUM(C33,I33)</f>
        <v>0</v>
      </c>
      <c r="N33" s="36" t="n">
        <f aca="false">SUM(D33,J33)</f>
        <v>0</v>
      </c>
      <c r="O33" s="58"/>
      <c r="P33" s="59"/>
      <c r="Q33" s="60"/>
      <c r="R33" s="61"/>
      <c r="S33" s="62"/>
      <c r="T33" s="63"/>
      <c r="U33" s="42"/>
      <c r="V33" s="64"/>
      <c r="W33" s="35" t="n">
        <f aca="false">SUM(M33,Q33)</f>
        <v>0</v>
      </c>
      <c r="X33" s="44" t="n">
        <f aca="false">SUM(N33,R33)</f>
        <v>0</v>
      </c>
      <c r="Y33" s="65"/>
      <c r="Z33" s="2"/>
      <c r="AA33" s="2"/>
    </row>
    <row r="34" customFormat="false" ht="19.7" hidden="true" customHeight="false" outlineLevel="0" collapsed="false">
      <c r="A34" s="48"/>
      <c r="B34" s="48"/>
      <c r="C34" s="49"/>
      <c r="D34" s="50"/>
      <c r="E34" s="51"/>
      <c r="F34" s="52"/>
      <c r="G34" s="53"/>
      <c r="H34" s="54"/>
      <c r="I34" s="55"/>
      <c r="J34" s="56"/>
      <c r="K34" s="55"/>
      <c r="L34" s="57"/>
      <c r="M34" s="35" t="n">
        <f aca="false">SUM(C34,I34)</f>
        <v>0</v>
      </c>
      <c r="N34" s="36" t="n">
        <f aca="false">SUM(D34,J34)</f>
        <v>0</v>
      </c>
      <c r="O34" s="58"/>
      <c r="P34" s="59"/>
      <c r="Q34" s="60"/>
      <c r="R34" s="61"/>
      <c r="S34" s="62"/>
      <c r="T34" s="63"/>
      <c r="U34" s="42"/>
      <c r="V34" s="64"/>
      <c r="W34" s="35" t="n">
        <f aca="false">SUM(M34,Q34)</f>
        <v>0</v>
      </c>
      <c r="X34" s="44" t="n">
        <f aca="false">SUM(N34,R34)</f>
        <v>0</v>
      </c>
      <c r="Y34" s="65"/>
      <c r="Z34" s="2"/>
      <c r="AA34" s="2"/>
    </row>
    <row r="35" customFormat="false" ht="19.7" hidden="false" customHeight="false" outlineLevel="0" collapsed="false">
      <c r="A35" s="66" t="s">
        <v>122</v>
      </c>
      <c r="B35" s="66" t="s"/>
      <c r="C35" s="67" t="n">
        <f aca="false">SUM(C6:C25)</f>
        <v>34</v>
      </c>
      <c r="D35" s="68" t="n">
        <f aca="false">SUM(D6:D25)</f>
        <v>70400</v>
      </c>
      <c r="E35" s="69" t="n">
        <f aca="false">SUM(E6:E25)</f>
        <v>0</v>
      </c>
      <c r="F35" s="70" t="n">
        <f aca="false">SUM(F6:F25)</f>
        <v>0</v>
      </c>
      <c r="G35" s="71" t="s">
        <v>122</v>
      </c>
      <c r="H35" s="71"/>
      <c r="I35" s="72" t="n">
        <f aca="false">SUM(I6:I25)</f>
        <v>110</v>
      </c>
      <c r="J35" s="68" t="n">
        <f aca="false">SUM(J6:J25)</f>
        <v>49090</v>
      </c>
      <c r="K35" s="69" t="n">
        <f aca="false">SUM(K6:K25)</f>
        <v>0</v>
      </c>
      <c r="L35" s="70" t="n">
        <f aca="false">SUM(L6:L25)</f>
        <v>0</v>
      </c>
      <c r="M35" s="73" t="n">
        <f aca="false">SUM(M6:M25)</f>
        <v>144</v>
      </c>
      <c r="N35" s="74" t="n">
        <f aca="false">SUM(N6:N25)</f>
        <v>119490</v>
      </c>
      <c r="O35" s="71" t="s">
        <v>122</v>
      </c>
      <c r="P35" s="71"/>
      <c r="Q35" s="75" t="n">
        <f aca="false">SUM(Q6:Q25)</f>
        <v>232</v>
      </c>
      <c r="R35" s="76" t="n">
        <f aca="false">SUM(R6:R25)</f>
        <v>548704.13</v>
      </c>
      <c r="S35" s="69" t="n">
        <f aca="false">SUM(S6:S25)</f>
        <v>0</v>
      </c>
      <c r="T35" s="70" t="n">
        <f aca="false">SUM(T6:T25)</f>
        <v>0</v>
      </c>
      <c r="U35" s="77" t="e">
        <f aca="false">SUM(U6:U25)</f>
        <v>#REF!</v>
      </c>
      <c r="V35" s="78" t="n">
        <f aca="false">SUM(V6:V25)</f>
        <v>548704.13</v>
      </c>
      <c r="W35" s="73" t="n">
        <f aca="false">SUM(W6:W25)</f>
        <v>376</v>
      </c>
      <c r="X35" s="79" t="n">
        <f aca="false">SUM(X6:X25)</f>
        <v>668194.13</v>
      </c>
      <c r="Y35" s="80"/>
      <c r="Z35" s="81"/>
      <c r="AA35" s="81"/>
    </row>
    <row r="36" customFormat="false" ht="15.75" hidden="false" customHeight="false" outlineLevel="0" collapsed="false">
      <c r="A36" s="2"/>
      <c r="B36" s="2"/>
      <c r="C36" s="2"/>
      <c r="D36" s="8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65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3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65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3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65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3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65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3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65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3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65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3"/>
      <c r="R48" s="3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3"/>
      <c r="R49" s="3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3"/>
      <c r="R50" s="3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3"/>
      <c r="R51" s="3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3"/>
      <c r="R52" s="3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3"/>
      <c r="R53" s="3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3"/>
      <c r="R54" s="3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3"/>
      <c r="R55" s="3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3"/>
      <c r="R56" s="3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C998" s="2"/>
      <c r="D998" s="2"/>
      <c r="E998" s="2"/>
      <c r="F998" s="2"/>
      <c r="G998" s="2"/>
      <c r="H998" s="2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C999" s="2"/>
      <c r="D999" s="2"/>
      <c r="E999" s="2"/>
      <c r="F999" s="2"/>
      <c r="G999" s="2"/>
      <c r="H999" s="2"/>
      <c r="I999" s="3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5.75" hidden="false" customHeight="false" outlineLevel="0" collapsed="false">
      <c r="C1000" s="2"/>
      <c r="D1000" s="2"/>
      <c r="E1000" s="2"/>
      <c r="F1000" s="2"/>
      <c r="G1000" s="2"/>
      <c r="H1000" s="2"/>
      <c r="I1000" s="3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Format="false" ht="15.75" hidden="false" customHeight="false" outlineLevel="0" collapsed="false">
      <c r="C1001" s="2"/>
      <c r="D1001" s="2"/>
      <c r="E1001" s="2"/>
      <c r="F1001" s="2"/>
      <c r="G1001" s="2"/>
      <c r="H1001" s="2"/>
      <c r="I1001" s="3"/>
      <c r="J1001" s="3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customFormat="false" ht="15.75" hidden="false" customHeight="false" outlineLevel="0" collapsed="false">
      <c r="C1002" s="2"/>
      <c r="D1002" s="2"/>
      <c r="E1002" s="2"/>
      <c r="F1002" s="2"/>
      <c r="G1002" s="2"/>
      <c r="H1002" s="2"/>
      <c r="I1002" s="3"/>
      <c r="J1002" s="3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customFormat="false" ht="15.75" hidden="false" customHeight="false" outlineLevel="0" collapsed="false">
      <c r="C1003" s="2"/>
      <c r="D1003" s="2"/>
      <c r="E1003" s="2"/>
      <c r="F1003" s="2"/>
      <c r="G1003" s="2"/>
      <c r="H1003" s="2"/>
      <c r="I1003" s="3"/>
      <c r="J1003" s="3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customFormat="false" ht="15.75" hidden="false" customHeight="false" outlineLevel="0" collapsed="false">
      <c r="C1004" s="2"/>
      <c r="D1004" s="2"/>
      <c r="E1004" s="2"/>
      <c r="F1004" s="2"/>
      <c r="G1004" s="2"/>
      <c r="H1004" s="2"/>
      <c r="I1004" s="3"/>
      <c r="J1004" s="3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customFormat="false" ht="15.75" hidden="false" customHeight="false" outlineLevel="0" collapsed="false">
      <c r="C1005" s="2"/>
      <c r="D1005" s="2"/>
      <c r="E1005" s="2"/>
      <c r="F1005" s="2"/>
      <c r="G1005" s="2"/>
      <c r="H1005" s="2"/>
      <c r="I1005" s="3"/>
      <c r="J1005" s="3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customFormat="false" ht="15.75" hidden="false" customHeight="false" outlineLevel="0" collapsed="false">
      <c r="C1006" s="2"/>
      <c r="D1006" s="2"/>
      <c r="E1006" s="2"/>
      <c r="F1006" s="2"/>
      <c r="G1006" s="2"/>
      <c r="H1006" s="2"/>
      <c r="I1006" s="3"/>
      <c r="J1006" s="3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32">
    <mergeCell ref="A1:AA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A3:AA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G35:H35"/>
    <mergeCell ref="O35:P3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outlinePr summaryBelow="0"/>
    <pageSetUpPr fitToPage="true"/>
  </sheetPr>
  <dimension ref="A1:AA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5"/>
    <col collapsed="false" customWidth="true" hidden="false" outlineLevel="0" style="0" width="16.5" min="2" max="2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8" min="18" style="0" width="10"/>
    <col collapsed="false" customWidth="false" hidden="true" outlineLevel="0" max="20" min="19" style="0" width="12.63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123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3" t="s">
        <v>11</v>
      </c>
      <c r="D4" s="14" t="s">
        <v>12</v>
      </c>
      <c r="E4" s="15" t="s">
        <v>13</v>
      </c>
      <c r="F4" s="15"/>
      <c r="G4" s="16" t="s">
        <v>14</v>
      </c>
      <c r="H4" s="17" t="s">
        <v>15</v>
      </c>
      <c r="I4" s="18" t="s">
        <v>11</v>
      </c>
      <c r="J4" s="18" t="s">
        <v>12</v>
      </c>
      <c r="K4" s="19" t="s">
        <v>16</v>
      </c>
      <c r="L4" s="19"/>
      <c r="M4" s="20" t="s">
        <v>17</v>
      </c>
      <c r="N4" s="21" t="s">
        <v>18</v>
      </c>
      <c r="O4" s="22" t="s">
        <v>14</v>
      </c>
      <c r="P4" s="23" t="s">
        <v>15</v>
      </c>
      <c r="Q4" s="23" t="s">
        <v>11</v>
      </c>
      <c r="R4" s="23" t="s">
        <v>12</v>
      </c>
      <c r="S4" s="24" t="s">
        <v>13</v>
      </c>
      <c r="T4" s="24"/>
      <c r="U4" s="9" t="s">
        <v>17</v>
      </c>
      <c r="V4" s="25" t="s">
        <v>18</v>
      </c>
      <c r="W4" s="20" t="s">
        <v>17</v>
      </c>
      <c r="X4" s="21" t="s">
        <v>18</v>
      </c>
      <c r="Y4" s="10"/>
      <c r="Z4" s="11"/>
      <c r="AA4" s="11"/>
    </row>
    <row r="5" customFormat="false" ht="19.7" hidden="false" customHeight="false" outlineLevel="0" collapsed="false">
      <c r="A5" s="4"/>
      <c r="B5" s="4"/>
      <c r="C5" s="13"/>
      <c r="D5" s="14"/>
      <c r="E5" s="14" t="s">
        <v>19</v>
      </c>
      <c r="F5" s="15" t="s">
        <v>20</v>
      </c>
      <c r="G5" s="16"/>
      <c r="H5" s="17"/>
      <c r="I5" s="17"/>
      <c r="J5" s="17"/>
      <c r="K5" s="17" t="s">
        <v>19</v>
      </c>
      <c r="L5" s="19" t="s">
        <v>20</v>
      </c>
      <c r="M5" s="20"/>
      <c r="N5" s="21"/>
      <c r="O5" s="22"/>
      <c r="P5" s="23"/>
      <c r="Q5" s="23"/>
      <c r="R5" s="23"/>
      <c r="S5" s="23" t="s">
        <v>11</v>
      </c>
      <c r="T5" s="24" t="s">
        <v>20</v>
      </c>
      <c r="U5" s="9"/>
      <c r="V5" s="25"/>
      <c r="W5" s="20"/>
      <c r="X5" s="21"/>
      <c r="Y5" s="10"/>
      <c r="Z5" s="11"/>
      <c r="AA5" s="11"/>
    </row>
    <row r="6" customFormat="false" ht="22.35" hidden="false" customHeight="false" outlineLevel="0" collapsed="false">
      <c r="A6" s="26" t="s">
        <v>124</v>
      </c>
      <c r="B6" s="26" t="s"/>
      <c r="C6" s="27" t="n">
        <v>1</v>
      </c>
      <c r="D6" s="28" t="n">
        <v>200</v>
      </c>
      <c r="E6" s="29"/>
      <c r="F6" s="30"/>
      <c r="G6" s="83" t="s">
        <v>125</v>
      </c>
      <c r="H6" s="32" t="s">
        <v>126</v>
      </c>
      <c r="I6" s="84" t="n">
        <v>10</v>
      </c>
      <c r="J6" s="33" t="n">
        <f aca="false">2700+500</f>
        <v>3200</v>
      </c>
      <c r="K6" s="46"/>
      <c r="L6" s="34"/>
      <c r="M6" s="35" t="n">
        <f aca="false">SUM(C6,I6)</f>
        <v>11</v>
      </c>
      <c r="N6" s="36" t="n">
        <f aca="false">SUM(D6,J6)</f>
        <v>3400</v>
      </c>
      <c r="O6" s="38" t="s">
        <v>127</v>
      </c>
      <c r="P6" s="38" t="s">
        <v>128</v>
      </c>
      <c r="Q6" s="38" t="n">
        <f aca="false">11+7+1+2+1</f>
        <v>22</v>
      </c>
      <c r="R6" s="39" t="n">
        <f aca="false">22100+9164+4000+2854.3+2100</f>
        <v>40218.3</v>
      </c>
      <c r="S6" s="40"/>
      <c r="T6" s="41"/>
      <c r="U6" s="42" t="e">
        <f aca="false">#REF!</f>
        <v>#REF!</v>
      </c>
      <c r="V6" s="43" t="n">
        <f aca="false">R6</f>
        <v>40218.3</v>
      </c>
      <c r="W6" s="35" t="n">
        <f aca="false">SUM(M6,Q6)</f>
        <v>33</v>
      </c>
      <c r="X6" s="44" t="n">
        <f aca="false">SUM(N6,R6)</f>
        <v>43618.3</v>
      </c>
      <c r="Y6" s="45"/>
      <c r="Z6" s="40" t="n">
        <v>1835</v>
      </c>
      <c r="AA6" s="40" t="s">
        <v>129</v>
      </c>
    </row>
    <row r="7" customFormat="false" ht="22.35" hidden="false" customHeight="false" outlineLevel="0" collapsed="false">
      <c r="A7" s="26" t="s">
        <v>130</v>
      </c>
      <c r="B7" s="26" t="s"/>
      <c r="C7" s="27" t="n">
        <v>284</v>
      </c>
      <c r="D7" s="28" t="n">
        <f aca="false">226150-400</f>
        <v>225750</v>
      </c>
      <c r="E7" s="29"/>
      <c r="F7" s="30"/>
      <c r="G7" s="83" t="s">
        <v>131</v>
      </c>
      <c r="H7" s="46" t="s">
        <v>38</v>
      </c>
      <c r="I7" s="84" t="n">
        <v>1</v>
      </c>
      <c r="J7" s="33" t="n">
        <v>200</v>
      </c>
      <c r="K7" s="46"/>
      <c r="L7" s="34"/>
      <c r="M7" s="35" t="n">
        <f aca="false">SUM(C7,I7)</f>
        <v>285</v>
      </c>
      <c r="N7" s="36" t="n">
        <f aca="false">SUM(D7,J7)</f>
        <v>225950</v>
      </c>
      <c r="O7" s="38" t="s">
        <v>132</v>
      </c>
      <c r="P7" s="38" t="s">
        <v>133</v>
      </c>
      <c r="Q7" s="38" t="n">
        <v>11</v>
      </c>
      <c r="R7" s="39" t="n">
        <v>25657.1</v>
      </c>
      <c r="S7" s="40"/>
      <c r="T7" s="41"/>
      <c r="U7" s="42" t="e">
        <f aca="false">#REF!</f>
        <v>#REF!</v>
      </c>
      <c r="V7" s="43" t="n">
        <f aca="false">R7</f>
        <v>25657.1</v>
      </c>
      <c r="W7" s="35" t="n">
        <f aca="false">SUM(M7,Q7)</f>
        <v>296</v>
      </c>
      <c r="X7" s="44" t="n">
        <f aca="false">SUM(N7,R7)</f>
        <v>251607.1</v>
      </c>
      <c r="Y7" s="45"/>
      <c r="Z7" s="40" t="n">
        <v>1844</v>
      </c>
      <c r="AA7" s="40" t="s">
        <v>134</v>
      </c>
    </row>
    <row r="8" customFormat="false" ht="22.35" hidden="false" customHeight="false" outlineLevel="0" collapsed="false">
      <c r="A8" s="26" t="s">
        <v>135</v>
      </c>
      <c r="B8" s="26" t="s"/>
      <c r="C8" s="27" t="n">
        <v>456</v>
      </c>
      <c r="D8" s="28" t="n">
        <v>331280</v>
      </c>
      <c r="E8" s="29"/>
      <c r="F8" s="30"/>
      <c r="G8" s="83" t="s">
        <v>136</v>
      </c>
      <c r="H8" s="32" t="s">
        <v>137</v>
      </c>
      <c r="I8" s="84" t="n">
        <v>8</v>
      </c>
      <c r="J8" s="33" t="n">
        <v>2150</v>
      </c>
      <c r="K8" s="46"/>
      <c r="L8" s="34"/>
      <c r="M8" s="35" t="n">
        <f aca="false">SUM(C8,I8)</f>
        <v>464</v>
      </c>
      <c r="N8" s="36" t="n">
        <f aca="false">SUM(D8,J8)</f>
        <v>333430</v>
      </c>
      <c r="O8" s="38" t="s">
        <v>138</v>
      </c>
      <c r="P8" s="38" t="s">
        <v>139</v>
      </c>
      <c r="Q8" s="38" t="n">
        <f aca="false">7+2</f>
        <v>9</v>
      </c>
      <c r="R8" s="39" t="n">
        <f aca="false">16852.4+8100</f>
        <v>24952.4</v>
      </c>
      <c r="S8" s="40"/>
      <c r="T8" s="41"/>
      <c r="U8" s="42" t="e">
        <f aca="false">#REF!</f>
        <v>#REF!</v>
      </c>
      <c r="V8" s="43" t="n">
        <f aca="false">R8</f>
        <v>24952.4</v>
      </c>
      <c r="W8" s="35" t="n">
        <f aca="false">SUM(M8,Q8)</f>
        <v>473</v>
      </c>
      <c r="X8" s="44" t="n">
        <f aca="false">SUM(N8,R8)</f>
        <v>358382.4</v>
      </c>
      <c r="Y8" s="45"/>
      <c r="Z8" s="40" t="n">
        <v>1852</v>
      </c>
      <c r="AA8" s="40" t="s">
        <v>140</v>
      </c>
    </row>
    <row r="9" customFormat="false" ht="22.35" hidden="false" customHeight="false" outlineLevel="0" collapsed="false">
      <c r="A9" s="26" t="s">
        <v>141</v>
      </c>
      <c r="B9" s="26" t="s"/>
      <c r="C9" s="27" t="n">
        <v>249</v>
      </c>
      <c r="D9" s="28" t="n">
        <v>199500</v>
      </c>
      <c r="E9" s="29"/>
      <c r="F9" s="30"/>
      <c r="G9" s="85" t="s">
        <v>38</v>
      </c>
      <c r="H9" s="46" t="s">
        <v>38</v>
      </c>
      <c r="I9" s="84" t="s">
        <v>38</v>
      </c>
      <c r="J9" s="33" t="s">
        <v>38</v>
      </c>
      <c r="K9" s="46"/>
      <c r="L9" s="34"/>
      <c r="M9" s="35" t="n">
        <f aca="false">SUM(C9,I9)</f>
        <v>249</v>
      </c>
      <c r="N9" s="36" t="n">
        <f aca="false">SUM(D9,J9)</f>
        <v>199500</v>
      </c>
      <c r="O9" s="38" t="s">
        <v>139</v>
      </c>
      <c r="P9" s="38" t="s">
        <v>142</v>
      </c>
      <c r="Q9" s="38" t="n">
        <v>12</v>
      </c>
      <c r="R9" s="39" t="n">
        <v>22735</v>
      </c>
      <c r="S9" s="40"/>
      <c r="T9" s="41"/>
      <c r="U9" s="42" t="e">
        <f aca="false">#REF!</f>
        <v>#REF!</v>
      </c>
      <c r="V9" s="43" t="n">
        <f aca="false">R9</f>
        <v>22735</v>
      </c>
      <c r="W9" s="35" t="n">
        <f aca="false">SUM(M9,Q9)</f>
        <v>261</v>
      </c>
      <c r="X9" s="44" t="n">
        <f aca="false">SUM(N9,R9)</f>
        <v>222235</v>
      </c>
      <c r="Y9" s="45"/>
      <c r="Z9" s="40" t="n">
        <v>1858</v>
      </c>
      <c r="AA9" s="40" t="s">
        <v>143</v>
      </c>
    </row>
    <row r="10" customFormat="false" ht="22.35" hidden="false" customHeight="false" outlineLevel="0" collapsed="false">
      <c r="A10" s="26" t="s">
        <v>144</v>
      </c>
      <c r="B10" s="26" t="s"/>
      <c r="C10" s="27" t="n">
        <v>494</v>
      </c>
      <c r="D10" s="28" t="n">
        <v>353560</v>
      </c>
      <c r="E10" s="29"/>
      <c r="F10" s="30"/>
      <c r="G10" s="83" t="s">
        <v>145</v>
      </c>
      <c r="H10" s="32" t="s">
        <v>146</v>
      </c>
      <c r="I10" s="84" t="n">
        <v>2</v>
      </c>
      <c r="J10" s="33" t="n">
        <v>400</v>
      </c>
      <c r="K10" s="46"/>
      <c r="L10" s="34"/>
      <c r="M10" s="35" t="n">
        <f aca="false">SUM(C10,I10)</f>
        <v>496</v>
      </c>
      <c r="N10" s="36" t="n">
        <f aca="false">SUM(D10,J10)</f>
        <v>353960</v>
      </c>
      <c r="O10" s="38" t="s">
        <v>147</v>
      </c>
      <c r="P10" s="38" t="s">
        <v>148</v>
      </c>
      <c r="Q10" s="38" t="n">
        <v>14</v>
      </c>
      <c r="R10" s="39" t="n">
        <v>25175.6</v>
      </c>
      <c r="S10" s="40"/>
      <c r="T10" s="41"/>
      <c r="U10" s="42" t="e">
        <f aca="false">#REF!</f>
        <v>#REF!</v>
      </c>
      <c r="V10" s="43" t="n">
        <f aca="false">R10</f>
        <v>25175.6</v>
      </c>
      <c r="W10" s="35" t="n">
        <f aca="false">SUM(M10,Q10)</f>
        <v>510</v>
      </c>
      <c r="X10" s="44" t="n">
        <f aca="false">SUM(N10,R10)</f>
        <v>379135.6</v>
      </c>
      <c r="Y10" s="45"/>
      <c r="Z10" s="40" t="n">
        <v>1866</v>
      </c>
      <c r="AA10" s="40" t="s">
        <v>149</v>
      </c>
    </row>
    <row r="11" customFormat="false" ht="22.35" hidden="false" customHeight="false" outlineLevel="0" collapsed="false">
      <c r="A11" s="26" t="s">
        <v>150</v>
      </c>
      <c r="B11" s="26" t="s"/>
      <c r="C11" s="27" t="n">
        <v>819</v>
      </c>
      <c r="D11" s="28" t="n">
        <v>566250</v>
      </c>
      <c r="E11" s="29"/>
      <c r="F11" s="30"/>
      <c r="G11" s="83" t="s">
        <v>151</v>
      </c>
      <c r="H11" s="32" t="s">
        <v>152</v>
      </c>
      <c r="I11" s="84" t="n">
        <v>7</v>
      </c>
      <c r="J11" s="33" t="n">
        <v>11400</v>
      </c>
      <c r="K11" s="46"/>
      <c r="L11" s="34"/>
      <c r="M11" s="35" t="n">
        <f aca="false">SUM(C11,I11)</f>
        <v>826</v>
      </c>
      <c r="N11" s="36" t="n">
        <f aca="false">SUM(D11,J11)</f>
        <v>577650</v>
      </c>
      <c r="O11" s="38" t="s">
        <v>153</v>
      </c>
      <c r="P11" s="38" t="s">
        <v>154</v>
      </c>
      <c r="Q11" s="38" t="n">
        <v>17</v>
      </c>
      <c r="R11" s="39" t="n">
        <v>29788</v>
      </c>
      <c r="S11" s="40"/>
      <c r="T11" s="41"/>
      <c r="U11" s="42" t="e">
        <f aca="false">#REF!</f>
        <v>#REF!</v>
      </c>
      <c r="V11" s="43" t="n">
        <f aca="false">R11</f>
        <v>29788</v>
      </c>
      <c r="W11" s="35" t="n">
        <f aca="false">SUM(M11,Q11)</f>
        <v>843</v>
      </c>
      <c r="X11" s="44" t="n">
        <f aca="false">SUM(N11,R11)</f>
        <v>607438</v>
      </c>
      <c r="Y11" s="45"/>
      <c r="Z11" s="40" t="n">
        <v>1873</v>
      </c>
      <c r="AA11" s="40" t="s">
        <v>155</v>
      </c>
    </row>
    <row r="12" customFormat="false" ht="22.35" hidden="false" customHeight="false" outlineLevel="0" collapsed="false">
      <c r="A12" s="26" t="s">
        <v>156</v>
      </c>
      <c r="B12" s="26" t="s"/>
      <c r="C12" s="27" t="n">
        <v>429</v>
      </c>
      <c r="D12" s="28" t="n">
        <v>387851</v>
      </c>
      <c r="E12" s="29"/>
      <c r="F12" s="30"/>
      <c r="G12" s="83" t="s">
        <v>157</v>
      </c>
      <c r="H12" s="32" t="s">
        <v>158</v>
      </c>
      <c r="I12" s="84" t="n">
        <v>2</v>
      </c>
      <c r="J12" s="33" t="n">
        <v>400</v>
      </c>
      <c r="K12" s="46"/>
      <c r="L12" s="34"/>
      <c r="M12" s="35" t="n">
        <f aca="false">SUM(C12,I12)</f>
        <v>431</v>
      </c>
      <c r="N12" s="36" t="n">
        <f aca="false">SUM(D12,J12)</f>
        <v>388251</v>
      </c>
      <c r="O12" s="38" t="s">
        <v>159</v>
      </c>
      <c r="P12" s="38" t="s">
        <v>160</v>
      </c>
      <c r="Q12" s="38" t="n">
        <v>11</v>
      </c>
      <c r="R12" s="39" t="n">
        <v>21500</v>
      </c>
      <c r="S12" s="40"/>
      <c r="T12" s="41"/>
      <c r="U12" s="42" t="e">
        <f aca="false">#REF!</f>
        <v>#REF!</v>
      </c>
      <c r="V12" s="43" t="n">
        <f aca="false">R12</f>
        <v>21500</v>
      </c>
      <c r="W12" s="35" t="n">
        <f aca="false">SUM(M12,Q12)</f>
        <v>442</v>
      </c>
      <c r="X12" s="44" t="n">
        <f aca="false">SUM(N12,R12)</f>
        <v>409751</v>
      </c>
      <c r="Y12" s="45"/>
      <c r="Z12" s="40" t="n">
        <v>1890</v>
      </c>
      <c r="AA12" s="40" t="s">
        <v>161</v>
      </c>
    </row>
    <row r="13" customFormat="false" ht="22.35" hidden="false" customHeight="false" outlineLevel="0" collapsed="false">
      <c r="A13" s="26" t="s">
        <v>162</v>
      </c>
      <c r="B13" s="26" t="s"/>
      <c r="C13" s="27" t="n">
        <v>370</v>
      </c>
      <c r="D13" s="28" t="n">
        <v>298390</v>
      </c>
      <c r="E13" s="29"/>
      <c r="F13" s="30"/>
      <c r="G13" s="85" t="s">
        <v>38</v>
      </c>
      <c r="H13" s="46" t="s">
        <v>38</v>
      </c>
      <c r="I13" s="84" t="s">
        <v>38</v>
      </c>
      <c r="J13" s="33" t="s">
        <v>38</v>
      </c>
      <c r="K13" s="46"/>
      <c r="L13" s="34"/>
      <c r="M13" s="35" t="n">
        <f aca="false">SUM(C13,I13)</f>
        <v>370</v>
      </c>
      <c r="N13" s="36" t="n">
        <f aca="false">SUM(D13,J13)</f>
        <v>298390</v>
      </c>
      <c r="O13" s="38" t="s">
        <v>163</v>
      </c>
      <c r="P13" s="38" t="s">
        <v>164</v>
      </c>
      <c r="Q13" s="38" t="n">
        <v>8</v>
      </c>
      <c r="R13" s="39" t="n">
        <v>18902</v>
      </c>
      <c r="S13" s="40"/>
      <c r="T13" s="41"/>
      <c r="U13" s="42" t="e">
        <f aca="false">#REF!</f>
        <v>#REF!</v>
      </c>
      <c r="V13" s="43" t="n">
        <f aca="false">R13</f>
        <v>18902</v>
      </c>
      <c r="W13" s="35" t="n">
        <f aca="false">SUM(M13,Q13)</f>
        <v>378</v>
      </c>
      <c r="X13" s="44" t="n">
        <f aca="false">SUM(N13,R13)</f>
        <v>317292</v>
      </c>
      <c r="Y13" s="45"/>
      <c r="Z13" s="40" t="n">
        <v>1888</v>
      </c>
      <c r="AA13" s="40" t="s">
        <v>165</v>
      </c>
    </row>
    <row r="14" customFormat="false" ht="22.35" hidden="false" customHeight="false" outlineLevel="0" collapsed="false">
      <c r="A14" s="26" t="s">
        <v>166</v>
      </c>
      <c r="B14" s="26" t="s"/>
      <c r="C14" s="27" t="n">
        <v>388</v>
      </c>
      <c r="D14" s="28" t="n">
        <v>401410</v>
      </c>
      <c r="E14" s="29"/>
      <c r="F14" s="30"/>
      <c r="G14" s="83" t="s">
        <v>167</v>
      </c>
      <c r="H14" s="32" t="s">
        <v>168</v>
      </c>
      <c r="I14" s="84" t="n">
        <v>8</v>
      </c>
      <c r="J14" s="33" t="n">
        <v>1600</v>
      </c>
      <c r="K14" s="46"/>
      <c r="L14" s="34"/>
      <c r="M14" s="35" t="n">
        <f aca="false">SUM(C14,I14)</f>
        <v>396</v>
      </c>
      <c r="N14" s="36" t="n">
        <f aca="false">SUM(D14,J14)</f>
        <v>403010</v>
      </c>
      <c r="O14" s="38" t="s">
        <v>169</v>
      </c>
      <c r="P14" s="38" t="s">
        <v>170</v>
      </c>
      <c r="Q14" s="38" t="n">
        <v>10</v>
      </c>
      <c r="R14" s="39" t="n">
        <v>16485.2</v>
      </c>
      <c r="S14" s="40"/>
      <c r="T14" s="41"/>
      <c r="U14" s="42" t="e">
        <f aca="false">#REF!</f>
        <v>#REF!</v>
      </c>
      <c r="V14" s="43" t="n">
        <f aca="false">R14</f>
        <v>16485.2</v>
      </c>
      <c r="W14" s="35" t="n">
        <f aca="false">SUM(M14,Q14)</f>
        <v>406</v>
      </c>
      <c r="X14" s="44" t="n">
        <f aca="false">SUM(N14,R14)</f>
        <v>419495.2</v>
      </c>
      <c r="Y14" s="45"/>
      <c r="Z14" s="40" t="n">
        <v>1895</v>
      </c>
      <c r="AA14" s="40" t="s">
        <v>171</v>
      </c>
    </row>
    <row r="15" customFormat="false" ht="22.35" hidden="false" customHeight="false" outlineLevel="0" collapsed="false">
      <c r="A15" s="26" t="s">
        <v>172</v>
      </c>
      <c r="B15" s="26" t="s"/>
      <c r="C15" s="27" t="n">
        <v>799</v>
      </c>
      <c r="D15" s="28" t="n">
        <v>671150</v>
      </c>
      <c r="E15" s="29"/>
      <c r="F15" s="30"/>
      <c r="G15" s="83" t="s">
        <v>173</v>
      </c>
      <c r="H15" s="32" t="s">
        <v>174</v>
      </c>
      <c r="I15" s="84" t="n">
        <v>4</v>
      </c>
      <c r="J15" s="33" t="n">
        <v>4640</v>
      </c>
      <c r="K15" s="46"/>
      <c r="L15" s="34"/>
      <c r="M15" s="35" t="n">
        <f aca="false">SUM(C15,I15)</f>
        <v>803</v>
      </c>
      <c r="N15" s="36" t="n">
        <f aca="false">SUM(D15,J15)</f>
        <v>675790</v>
      </c>
      <c r="O15" s="38" t="s">
        <v>175</v>
      </c>
      <c r="P15" s="38" t="s">
        <v>176</v>
      </c>
      <c r="Q15" s="38" t="n">
        <v>9</v>
      </c>
      <c r="R15" s="39" t="n">
        <v>16712</v>
      </c>
      <c r="S15" s="40"/>
      <c r="T15" s="41"/>
      <c r="U15" s="42" t="e">
        <f aca="false">#REF!</f>
        <v>#REF!</v>
      </c>
      <c r="V15" s="43" t="n">
        <f aca="false">R15</f>
        <v>16712</v>
      </c>
      <c r="W15" s="35" t="n">
        <f aca="false">SUM(M15,Q15)</f>
        <v>812</v>
      </c>
      <c r="X15" s="44" t="n">
        <f aca="false">SUM(N15,R15)</f>
        <v>692502</v>
      </c>
      <c r="Y15" s="45"/>
      <c r="Z15" s="40" t="n">
        <v>1903</v>
      </c>
      <c r="AA15" s="40" t="s">
        <v>177</v>
      </c>
    </row>
    <row r="16" customFormat="false" ht="22.35" hidden="false" customHeight="false" outlineLevel="0" collapsed="false">
      <c r="A16" s="26" t="s">
        <v>178</v>
      </c>
      <c r="B16" s="26" t="s"/>
      <c r="C16" s="27" t="n">
        <v>908</v>
      </c>
      <c r="D16" s="28" t="n">
        <v>615490</v>
      </c>
      <c r="E16" s="29"/>
      <c r="F16" s="30"/>
      <c r="G16" s="83" t="s">
        <v>179</v>
      </c>
      <c r="H16" s="32" t="s">
        <v>180</v>
      </c>
      <c r="I16" s="84" t="n">
        <v>4</v>
      </c>
      <c r="J16" s="33" t="n">
        <v>1600</v>
      </c>
      <c r="K16" s="46"/>
      <c r="L16" s="34"/>
      <c r="M16" s="35" t="n">
        <f aca="false">SUM(C16,I16)</f>
        <v>912</v>
      </c>
      <c r="N16" s="36" t="n">
        <f aca="false">SUM(D16,J16)</f>
        <v>617090</v>
      </c>
      <c r="O16" s="38" t="s">
        <v>181</v>
      </c>
      <c r="P16" s="38" t="s">
        <v>182</v>
      </c>
      <c r="Q16" s="38" t="n">
        <v>21</v>
      </c>
      <c r="R16" s="39" t="n">
        <v>38354.2</v>
      </c>
      <c r="S16" s="40"/>
      <c r="T16" s="41"/>
      <c r="U16" s="42" t="e">
        <f aca="false">#REF!</f>
        <v>#REF!</v>
      </c>
      <c r="V16" s="43" t="n">
        <f aca="false">R16</f>
        <v>38354.2</v>
      </c>
      <c r="W16" s="35" t="n">
        <f aca="false">SUM(M16,Q16)</f>
        <v>933</v>
      </c>
      <c r="X16" s="44" t="n">
        <f aca="false">SUM(N16,R16)</f>
        <v>655444.2</v>
      </c>
      <c r="Y16" s="45"/>
      <c r="Z16" s="40" t="n">
        <v>1919</v>
      </c>
      <c r="AA16" s="40" t="s">
        <v>183</v>
      </c>
    </row>
    <row r="17" customFormat="false" ht="22.35" hidden="false" customHeight="false" outlineLevel="0" collapsed="false">
      <c r="A17" s="26" t="s">
        <v>184</v>
      </c>
      <c r="B17" s="26" t="s"/>
      <c r="C17" s="27" t="n">
        <f aca="false">433+420</f>
        <v>853</v>
      </c>
      <c r="D17" s="28" t="n">
        <f aca="false">393370+429970</f>
        <v>823340</v>
      </c>
      <c r="E17" s="29"/>
      <c r="F17" s="30"/>
      <c r="G17" s="83" t="s">
        <v>185</v>
      </c>
      <c r="H17" s="32" t="s">
        <v>186</v>
      </c>
      <c r="I17" s="84" t="n">
        <f aca="false">1+6</f>
        <v>7</v>
      </c>
      <c r="J17" s="33" t="n">
        <f aca="false">4200+1720+400+200+200+500+500</f>
        <v>7720</v>
      </c>
      <c r="K17" s="46"/>
      <c r="L17" s="34"/>
      <c r="M17" s="35" t="n">
        <f aca="false">SUM(C17,I17)</f>
        <v>860</v>
      </c>
      <c r="N17" s="36" t="n">
        <f aca="false">SUM(D17,J17)</f>
        <v>831060</v>
      </c>
      <c r="O17" s="38" t="s">
        <v>187</v>
      </c>
      <c r="P17" s="38" t="s">
        <v>188</v>
      </c>
      <c r="Q17" s="38" t="n">
        <f aca="false">9+20</f>
        <v>29</v>
      </c>
      <c r="R17" s="39" t="n">
        <f aca="false">19357+49697</f>
        <v>69054</v>
      </c>
      <c r="S17" s="40"/>
      <c r="T17" s="41"/>
      <c r="U17" s="42" t="e">
        <f aca="false">#REF!</f>
        <v>#REF!</v>
      </c>
      <c r="V17" s="43" t="n">
        <f aca="false">R17</f>
        <v>69054</v>
      </c>
      <c r="W17" s="35" t="n">
        <f aca="false">SUM(M17,Q17)</f>
        <v>889</v>
      </c>
      <c r="X17" s="44" t="n">
        <f aca="false">SUM(N17,R17)</f>
        <v>900114</v>
      </c>
      <c r="Y17" s="45"/>
      <c r="Z17" s="40" t="n">
        <v>1923</v>
      </c>
      <c r="AA17" s="40" t="s">
        <v>183</v>
      </c>
    </row>
    <row r="18" customFormat="false" ht="47" hidden="false" customHeight="false" outlineLevel="0" collapsed="false">
      <c r="A18" s="26" t="s">
        <v>189</v>
      </c>
      <c r="B18" s="26" t="s"/>
      <c r="C18" s="27" t="n">
        <f aca="false">394+698</f>
        <v>1092</v>
      </c>
      <c r="D18" s="28" t="n">
        <v>936740</v>
      </c>
      <c r="E18" s="29"/>
      <c r="F18" s="30"/>
      <c r="G18" s="83" t="s">
        <v>190</v>
      </c>
      <c r="H18" s="32" t="s">
        <v>191</v>
      </c>
      <c r="I18" s="84" t="n">
        <f aca="false">15+5</f>
        <v>20</v>
      </c>
      <c r="J18" s="33" t="n">
        <f aca="false">200+1000+200+200+200+200+200+200+200+200+200+200+200+200+200+200+200+500+500+200</f>
        <v>5400</v>
      </c>
      <c r="K18" s="46"/>
      <c r="L18" s="34"/>
      <c r="M18" s="35" t="n">
        <f aca="false">SUM(C18,I18)</f>
        <v>1112</v>
      </c>
      <c r="N18" s="36" t="n">
        <f aca="false">SUM(D18,J18)</f>
        <v>942140</v>
      </c>
      <c r="O18" s="38" t="s">
        <v>192</v>
      </c>
      <c r="P18" s="38" t="s">
        <v>193</v>
      </c>
      <c r="Q18" s="38" t="n">
        <f aca="false">9+11</f>
        <v>20</v>
      </c>
      <c r="R18" s="39" t="n">
        <f aca="false">20054.1+23860</f>
        <v>43914.1</v>
      </c>
      <c r="S18" s="40"/>
      <c r="T18" s="41"/>
      <c r="U18" s="42" t="e">
        <f aca="false">#REF!</f>
        <v>#REF!</v>
      </c>
      <c r="V18" s="43" t="n">
        <f aca="false">R18</f>
        <v>43914.1</v>
      </c>
      <c r="W18" s="35" t="n">
        <f aca="false">SUM(M18,Q18)</f>
        <v>1132</v>
      </c>
      <c r="X18" s="44" t="n">
        <f aca="false">SUM(N18,R18)</f>
        <v>986054.1</v>
      </c>
      <c r="Y18" s="86" t="s">
        <v>194</v>
      </c>
      <c r="Z18" s="40" t="n">
        <v>1936</v>
      </c>
      <c r="AA18" s="40" t="s">
        <v>195</v>
      </c>
    </row>
    <row r="19" customFormat="false" ht="22.35" hidden="false" customHeight="false" outlineLevel="0" collapsed="false">
      <c r="A19" s="26" t="s">
        <v>196</v>
      </c>
      <c r="B19" s="26" t="s"/>
      <c r="C19" s="27" t="n">
        <v>491</v>
      </c>
      <c r="D19" s="28" t="n">
        <v>700480</v>
      </c>
      <c r="E19" s="29"/>
      <c r="F19" s="30"/>
      <c r="G19" s="83" t="s">
        <v>197</v>
      </c>
      <c r="H19" s="32" t="s">
        <v>198</v>
      </c>
      <c r="I19" s="84" t="n">
        <v>3</v>
      </c>
      <c r="J19" s="33" t="n">
        <f aca="false">200+200+2600</f>
        <v>3000</v>
      </c>
      <c r="K19" s="46"/>
      <c r="L19" s="34"/>
      <c r="M19" s="35" t="n">
        <f aca="false">SUM(C19,I19)</f>
        <v>494</v>
      </c>
      <c r="N19" s="36" t="n">
        <f aca="false">SUM(D19,J19)</f>
        <v>703480</v>
      </c>
      <c r="O19" s="38" t="s">
        <v>199</v>
      </c>
      <c r="P19" s="38" t="s">
        <v>200</v>
      </c>
      <c r="Q19" s="38" t="n">
        <v>16</v>
      </c>
      <c r="R19" s="39" t="n">
        <v>35193</v>
      </c>
      <c r="S19" s="40"/>
      <c r="T19" s="41"/>
      <c r="U19" s="42" t="e">
        <f aca="false">#REF!</f>
        <v>#REF!</v>
      </c>
      <c r="V19" s="43" t="n">
        <f aca="false">R19</f>
        <v>35193</v>
      </c>
      <c r="W19" s="35" t="n">
        <f aca="false">SUM(M19,Q19)</f>
        <v>510</v>
      </c>
      <c r="X19" s="44" t="n">
        <f aca="false">SUM(N19,R19)</f>
        <v>738673</v>
      </c>
      <c r="Y19" s="47"/>
      <c r="Z19" s="40" t="n">
        <v>1945</v>
      </c>
      <c r="AA19" s="40" t="s">
        <v>201</v>
      </c>
    </row>
    <row r="20" customFormat="false" ht="22.35" hidden="false" customHeight="false" outlineLevel="0" collapsed="false">
      <c r="A20" s="26" t="s">
        <v>202</v>
      </c>
      <c r="B20" s="26" t="s"/>
      <c r="C20" s="27" t="n">
        <v>591</v>
      </c>
      <c r="D20" s="28" t="n">
        <v>457850</v>
      </c>
      <c r="E20" s="29"/>
      <c r="F20" s="30"/>
      <c r="G20" s="83" t="s">
        <v>203</v>
      </c>
      <c r="H20" s="32" t="s">
        <v>204</v>
      </c>
      <c r="I20" s="84" t="n">
        <v>4</v>
      </c>
      <c r="J20" s="33" t="n">
        <f aca="false">500+200+200+1220</f>
        <v>2120</v>
      </c>
      <c r="K20" s="46"/>
      <c r="L20" s="34"/>
      <c r="M20" s="35" t="n">
        <f aca="false">SUM(C20,I20)</f>
        <v>595</v>
      </c>
      <c r="N20" s="36" t="n">
        <f aca="false">SUM(D20,J20)</f>
        <v>459970</v>
      </c>
      <c r="O20" s="38" t="s">
        <v>205</v>
      </c>
      <c r="P20" s="38" t="s">
        <v>206</v>
      </c>
      <c r="Q20" s="38" t="n">
        <v>16</v>
      </c>
      <c r="R20" s="39" t="n">
        <v>32368</v>
      </c>
      <c r="S20" s="40"/>
      <c r="T20" s="41"/>
      <c r="U20" s="42" t="e">
        <f aca="false">#REF!</f>
        <v>#REF!</v>
      </c>
      <c r="V20" s="43" t="n">
        <f aca="false">R20</f>
        <v>32368</v>
      </c>
      <c r="W20" s="35" t="n">
        <f aca="false">SUM(M20,Q20)</f>
        <v>611</v>
      </c>
      <c r="X20" s="44" t="n">
        <f aca="false">SUM(N20,R20)</f>
        <v>492338</v>
      </c>
      <c r="Y20" s="45"/>
      <c r="Z20" s="40" t="n">
        <v>1953</v>
      </c>
      <c r="AA20" s="40" t="s">
        <v>207</v>
      </c>
    </row>
    <row r="21" customFormat="false" ht="22.35" hidden="false" customHeight="false" outlineLevel="0" collapsed="false">
      <c r="A21" s="26" t="s">
        <v>208</v>
      </c>
      <c r="B21" s="26" t="s"/>
      <c r="C21" s="27" t="n">
        <v>477</v>
      </c>
      <c r="D21" s="28" t="n">
        <v>606520</v>
      </c>
      <c r="E21" s="29"/>
      <c r="F21" s="30"/>
      <c r="G21" s="83" t="s">
        <v>209</v>
      </c>
      <c r="H21" s="32" t="s">
        <v>210</v>
      </c>
      <c r="I21" s="84" t="n">
        <v>9</v>
      </c>
      <c r="J21" s="33" t="n">
        <f aca="false">500+500+1800+200+200+200+200+200+200</f>
        <v>4000</v>
      </c>
      <c r="K21" s="46"/>
      <c r="L21" s="34"/>
      <c r="M21" s="35" t="n">
        <f aca="false">SUM(C21,I21)</f>
        <v>486</v>
      </c>
      <c r="N21" s="36" t="n">
        <f aca="false">SUM(D21,J21)</f>
        <v>610520</v>
      </c>
      <c r="O21" s="38" t="s">
        <v>211</v>
      </c>
      <c r="P21" s="38" t="s">
        <v>212</v>
      </c>
      <c r="Q21" s="38" t="n">
        <v>10</v>
      </c>
      <c r="R21" s="39" t="n">
        <v>19320</v>
      </c>
      <c r="S21" s="40"/>
      <c r="T21" s="41"/>
      <c r="U21" s="42" t="e">
        <f aca="false">#REF!</f>
        <v>#REF!</v>
      </c>
      <c r="V21" s="43" t="n">
        <f aca="false">R21</f>
        <v>19320</v>
      </c>
      <c r="W21" s="35" t="n">
        <f aca="false">SUM(M21,Q21)</f>
        <v>496</v>
      </c>
      <c r="X21" s="44" t="n">
        <f aca="false">SUM(N21,R21)</f>
        <v>629840</v>
      </c>
      <c r="Y21" s="45"/>
      <c r="Z21" s="40" t="n">
        <v>1959</v>
      </c>
      <c r="AA21" s="40" t="s">
        <v>213</v>
      </c>
    </row>
    <row r="22" customFormat="false" ht="22.35" hidden="false" customHeight="false" outlineLevel="0" collapsed="false">
      <c r="A22" s="26" t="s">
        <v>214</v>
      </c>
      <c r="B22" s="26" t="s"/>
      <c r="C22" s="27" t="n">
        <v>483</v>
      </c>
      <c r="D22" s="28" t="n">
        <v>773580</v>
      </c>
      <c r="E22" s="29"/>
      <c r="F22" s="30"/>
      <c r="G22" s="83" t="s">
        <v>215</v>
      </c>
      <c r="H22" s="32" t="s">
        <v>216</v>
      </c>
      <c r="I22" s="84" t="n">
        <v>4</v>
      </c>
      <c r="J22" s="33" t="n">
        <v>1400</v>
      </c>
      <c r="K22" s="46"/>
      <c r="L22" s="34"/>
      <c r="M22" s="35" t="n">
        <f aca="false">SUM(C22,I22)</f>
        <v>487</v>
      </c>
      <c r="N22" s="36" t="n">
        <f aca="false">SUM(D22,J22)</f>
        <v>774980</v>
      </c>
      <c r="O22" s="38" t="s">
        <v>217</v>
      </c>
      <c r="P22" s="38" t="s">
        <v>218</v>
      </c>
      <c r="Q22" s="38" t="n">
        <v>25</v>
      </c>
      <c r="R22" s="39" t="n">
        <v>80666</v>
      </c>
      <c r="S22" s="40"/>
      <c r="T22" s="41"/>
      <c r="U22" s="42" t="e">
        <f aca="false">#REF!</f>
        <v>#REF!</v>
      </c>
      <c r="V22" s="43" t="n">
        <f aca="false">R22</f>
        <v>80666</v>
      </c>
      <c r="W22" s="35" t="n">
        <f aca="false">SUM(M22,Q22)</f>
        <v>512</v>
      </c>
      <c r="X22" s="44" t="n">
        <f aca="false">SUM(N22,R22)</f>
        <v>855646</v>
      </c>
      <c r="Y22" s="45"/>
      <c r="Z22" s="40" t="n">
        <v>1966</v>
      </c>
      <c r="AA22" s="40" t="s">
        <v>219</v>
      </c>
    </row>
    <row r="23" customFormat="false" ht="22.35" hidden="false" customHeight="false" outlineLevel="0" collapsed="false">
      <c r="A23" s="26" t="s">
        <v>220</v>
      </c>
      <c r="B23" s="26" t="s"/>
      <c r="C23" s="27" t="n">
        <v>417</v>
      </c>
      <c r="D23" s="28" t="n">
        <v>501490</v>
      </c>
      <c r="E23" s="29"/>
      <c r="F23" s="30"/>
      <c r="G23" s="83" t="s">
        <v>221</v>
      </c>
      <c r="H23" s="32" t="s">
        <v>222</v>
      </c>
      <c r="I23" s="84" t="n">
        <v>8</v>
      </c>
      <c r="J23" s="33" t="n">
        <v>4720</v>
      </c>
      <c r="K23" s="46"/>
      <c r="L23" s="34"/>
      <c r="M23" s="35" t="n">
        <f aca="false">SUM(C23,I23)</f>
        <v>425</v>
      </c>
      <c r="N23" s="36" t="n">
        <f aca="false">SUM(D23,J23)</f>
        <v>506210</v>
      </c>
      <c r="O23" s="37" t="s">
        <v>223</v>
      </c>
      <c r="P23" s="38" t="s">
        <v>224</v>
      </c>
      <c r="Q23" s="38" t="n">
        <v>24</v>
      </c>
      <c r="R23" s="39" t="n">
        <v>59101.8</v>
      </c>
      <c r="S23" s="40"/>
      <c r="T23" s="41"/>
      <c r="U23" s="42" t="e">
        <f aca="false">#REF!</f>
        <v>#REF!</v>
      </c>
      <c r="V23" s="43" t="n">
        <f aca="false">R23</f>
        <v>59101.8</v>
      </c>
      <c r="W23" s="35" t="n">
        <f aca="false">SUM(M23,Q23)</f>
        <v>449</v>
      </c>
      <c r="X23" s="44" t="n">
        <f aca="false">SUM(N23,R23)</f>
        <v>565311.8</v>
      </c>
      <c r="Y23" s="45"/>
      <c r="Z23" s="40" t="n">
        <v>1972</v>
      </c>
      <c r="AA23" s="40" t="s">
        <v>225</v>
      </c>
    </row>
    <row r="24" customFormat="false" ht="22.35" hidden="false" customHeight="false" outlineLevel="0" collapsed="false">
      <c r="A24" s="26" t="s">
        <v>226</v>
      </c>
      <c r="B24" s="26" t="s"/>
      <c r="C24" s="49" t="n">
        <v>494</v>
      </c>
      <c r="D24" s="50" t="n">
        <v>1018320</v>
      </c>
      <c r="E24" s="51"/>
      <c r="F24" s="52"/>
      <c r="G24" s="87" t="s">
        <v>227</v>
      </c>
      <c r="H24" s="32" t="s">
        <v>228</v>
      </c>
      <c r="I24" s="54" t="n">
        <v>5</v>
      </c>
      <c r="J24" s="56" t="n">
        <f aca="false">200+200+200+200+500</f>
        <v>1300</v>
      </c>
      <c r="K24" s="55"/>
      <c r="L24" s="57"/>
      <c r="M24" s="35" t="n">
        <f aca="false">SUM(C24,I24)</f>
        <v>499</v>
      </c>
      <c r="N24" s="36" t="n">
        <f aca="false">SUM(D24,J24)</f>
        <v>1019620</v>
      </c>
      <c r="O24" s="88" t="s">
        <v>229</v>
      </c>
      <c r="P24" s="89" t="s">
        <v>230</v>
      </c>
      <c r="Q24" s="60" t="n">
        <v>18</v>
      </c>
      <c r="R24" s="61" t="n">
        <v>36341</v>
      </c>
      <c r="S24" s="62"/>
      <c r="T24" s="63"/>
      <c r="U24" s="42"/>
      <c r="V24" s="64"/>
      <c r="W24" s="35" t="n">
        <f aca="false">SUM(M24,Q24)</f>
        <v>517</v>
      </c>
      <c r="X24" s="44" t="n">
        <f aca="false">SUM(N24,R24)</f>
        <v>1055961</v>
      </c>
      <c r="Y24" s="45"/>
      <c r="Z24" s="40" t="n">
        <v>1981</v>
      </c>
      <c r="AA24" s="40" t="s">
        <v>231</v>
      </c>
    </row>
    <row r="25" customFormat="false" ht="19.7" hidden="false" customHeight="false" outlineLevel="0" collapsed="false">
      <c r="A25" s="66" t="s">
        <v>122</v>
      </c>
      <c r="B25" s="66" t="s"/>
      <c r="C25" s="67" t="n">
        <f aca="false">SUM(C6:C24)</f>
        <v>10095</v>
      </c>
      <c r="D25" s="68" t="n">
        <f aca="false">SUM(D6:D24)</f>
        <v>9869151</v>
      </c>
      <c r="E25" s="69" t="n">
        <f aca="false">SUM(E6:E23)</f>
        <v>0</v>
      </c>
      <c r="F25" s="70" t="n">
        <f aca="false">SUM(F6:F23)</f>
        <v>0</v>
      </c>
      <c r="G25" s="71" t="s">
        <v>122</v>
      </c>
      <c r="H25" s="71"/>
      <c r="I25" s="72" t="n">
        <f aca="false">SUM(I6:I24)</f>
        <v>106</v>
      </c>
      <c r="J25" s="68" t="n">
        <f aca="false">SUM(J6:J24)</f>
        <v>55250</v>
      </c>
      <c r="K25" s="69" t="n">
        <f aca="false">SUM(K6:K23)</f>
        <v>0</v>
      </c>
      <c r="L25" s="70" t="n">
        <f aca="false">SUM(L6:L23)</f>
        <v>0</v>
      </c>
      <c r="M25" s="73" t="n">
        <f aca="false">SUM(M6:M23)</f>
        <v>9702</v>
      </c>
      <c r="N25" s="74" t="n">
        <f aca="false">SUM(N6:N23)</f>
        <v>8904781</v>
      </c>
      <c r="O25" s="71" t="s">
        <v>122</v>
      </c>
      <c r="P25" s="71"/>
      <c r="Q25" s="75" t="n">
        <f aca="false">SUM(Q6:Q24)</f>
        <v>302</v>
      </c>
      <c r="R25" s="76" t="n">
        <f aca="false">SUM(R6:R24)</f>
        <v>656437.7</v>
      </c>
      <c r="S25" s="69" t="n">
        <f aca="false">SUM(S6:S23)</f>
        <v>0</v>
      </c>
      <c r="T25" s="70" t="n">
        <f aca="false">SUM(T6:T23)</f>
        <v>0</v>
      </c>
      <c r="U25" s="77" t="e">
        <f aca="false">SUM(U6:U23)</f>
        <v>#REF!</v>
      </c>
      <c r="V25" s="78" t="n">
        <f aca="false">SUM(V6:V23)</f>
        <v>620096.7</v>
      </c>
      <c r="W25" s="73" t="n">
        <f aca="false">SUM(W6:W24)</f>
        <v>10503</v>
      </c>
      <c r="X25" s="79" t="n">
        <f aca="false">SUM(X6:X24)</f>
        <v>10580838.7</v>
      </c>
      <c r="Y25" s="80"/>
      <c r="Z25" s="81"/>
      <c r="AA25" s="81"/>
    </row>
    <row r="26" customFormat="false" ht="15.75" hidden="false" customHeight="false" outlineLevel="0" collapsed="false">
      <c r="A26" s="2"/>
      <c r="B26" s="2"/>
      <c r="C26" s="2"/>
      <c r="D26" s="82"/>
      <c r="E26" s="2"/>
      <c r="F26" s="2"/>
      <c r="G26" s="2"/>
      <c r="H26" s="2"/>
      <c r="I26" s="3"/>
      <c r="J26" s="3"/>
      <c r="K26" s="2"/>
      <c r="L26" s="2"/>
      <c r="M26" s="2"/>
      <c r="N26" s="2"/>
      <c r="O26" s="2"/>
      <c r="P26" s="2"/>
      <c r="Q26" s="3"/>
      <c r="R26" s="3"/>
      <c r="S26" s="2"/>
      <c r="T26" s="2"/>
      <c r="U26" s="2"/>
      <c r="V26" s="2"/>
      <c r="W26" s="2"/>
      <c r="X26" s="2"/>
      <c r="Y26" s="65"/>
      <c r="Z26" s="2"/>
      <c r="AA26" s="2"/>
    </row>
    <row r="27" customFormat="false" ht="15.75" hidden="false" customHeight="false" outlineLevel="0" collapsed="false">
      <c r="A27" s="2"/>
      <c r="B27" s="2"/>
      <c r="C27" s="2"/>
      <c r="D27" s="3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5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5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5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5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5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mergeCells count="32">
    <mergeCell ref="A1:AA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A3:AA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G25:H25"/>
    <mergeCell ref="O25:P2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outlinePr summaryBelow="0"/>
    <pageSetUpPr fitToPage="true"/>
  </sheetPr>
  <dimension ref="A1:AA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5"/>
    <col collapsed="false" customWidth="true" hidden="false" outlineLevel="0" style="0" width="16.5" min="2" max="2"/>
    <col collapsed="false" customWidth="true" hidden="false" outlineLevel="0" max="8" min="8" style="0" width="17.63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232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3" t="s">
        <v>11</v>
      </c>
      <c r="D4" s="14" t="s">
        <v>12</v>
      </c>
      <c r="E4" s="15" t="s">
        <v>13</v>
      </c>
      <c r="F4" s="15"/>
      <c r="G4" s="16" t="s">
        <v>14</v>
      </c>
      <c r="H4" s="17" t="s">
        <v>15</v>
      </c>
      <c r="I4" s="18" t="s">
        <v>11</v>
      </c>
      <c r="J4" s="18" t="s">
        <v>12</v>
      </c>
      <c r="K4" s="19" t="s">
        <v>16</v>
      </c>
      <c r="L4" s="19"/>
      <c r="M4" s="20" t="s">
        <v>17</v>
      </c>
      <c r="N4" s="21" t="s">
        <v>18</v>
      </c>
      <c r="O4" s="22" t="s">
        <v>14</v>
      </c>
      <c r="P4" s="23" t="s">
        <v>15</v>
      </c>
      <c r="Q4" s="23" t="s">
        <v>11</v>
      </c>
      <c r="R4" s="23" t="s">
        <v>12</v>
      </c>
      <c r="S4" s="24" t="s">
        <v>13</v>
      </c>
      <c r="T4" s="24"/>
      <c r="U4" s="9" t="s">
        <v>17</v>
      </c>
      <c r="V4" s="25" t="s">
        <v>18</v>
      </c>
      <c r="W4" s="20" t="s">
        <v>17</v>
      </c>
      <c r="X4" s="21" t="s">
        <v>18</v>
      </c>
      <c r="Y4" s="10"/>
      <c r="Z4" s="11"/>
      <c r="AA4" s="11"/>
    </row>
    <row r="5" customFormat="false" ht="19.7" hidden="false" customHeight="false" outlineLevel="0" collapsed="false">
      <c r="A5" s="4"/>
      <c r="B5" s="4"/>
      <c r="C5" s="13"/>
      <c r="D5" s="14"/>
      <c r="E5" s="14" t="s">
        <v>19</v>
      </c>
      <c r="F5" s="15" t="s">
        <v>20</v>
      </c>
      <c r="G5" s="16"/>
      <c r="H5" s="17"/>
      <c r="I5" s="17"/>
      <c r="J5" s="17"/>
      <c r="K5" s="17" t="s">
        <v>19</v>
      </c>
      <c r="L5" s="19" t="s">
        <v>20</v>
      </c>
      <c r="M5" s="20"/>
      <c r="N5" s="21"/>
      <c r="O5" s="22"/>
      <c r="P5" s="23"/>
      <c r="Q5" s="23"/>
      <c r="R5" s="23"/>
      <c r="S5" s="23" t="s">
        <v>11</v>
      </c>
      <c r="T5" s="24" t="s">
        <v>20</v>
      </c>
      <c r="U5" s="9"/>
      <c r="V5" s="25"/>
      <c r="W5" s="20"/>
      <c r="X5" s="21"/>
      <c r="Y5" s="10"/>
      <c r="Z5" s="11"/>
      <c r="AA5" s="11"/>
    </row>
    <row r="6" customFormat="false" ht="22.35" hidden="false" customHeight="false" outlineLevel="0" collapsed="false">
      <c r="A6" s="26" t="s">
        <v>231</v>
      </c>
      <c r="B6" s="26" t="s"/>
      <c r="C6" s="27" t="n">
        <v>468</v>
      </c>
      <c r="D6" s="28" t="n">
        <v>478630</v>
      </c>
      <c r="E6" s="29"/>
      <c r="F6" s="30"/>
      <c r="G6" s="83" t="s">
        <v>233</v>
      </c>
      <c r="H6" s="32" t="s">
        <v>234</v>
      </c>
      <c r="I6" s="84" t="n">
        <v>3</v>
      </c>
      <c r="J6" s="33" t="n">
        <f aca="false">400+200+2600</f>
        <v>3200</v>
      </c>
      <c r="K6" s="46"/>
      <c r="L6" s="34"/>
      <c r="M6" s="35" t="n">
        <f aca="false">SUM(C6,I6)</f>
        <v>471</v>
      </c>
      <c r="N6" s="36" t="n">
        <f aca="false">SUM(D6,J6)</f>
        <v>481830</v>
      </c>
      <c r="O6" s="38" t="s">
        <v>235</v>
      </c>
      <c r="P6" s="38" t="s">
        <v>236</v>
      </c>
      <c r="Q6" s="38" t="n">
        <v>39</v>
      </c>
      <c r="R6" s="39" t="n">
        <v>103521.94</v>
      </c>
      <c r="S6" s="40"/>
      <c r="T6" s="41"/>
      <c r="U6" s="42" t="n">
        <f aca="false">SUM(Q6)</f>
        <v>39</v>
      </c>
      <c r="V6" s="90" t="n">
        <f aca="false">SUM(R6)</f>
        <v>103521.94</v>
      </c>
      <c r="W6" s="35" t="n">
        <f aca="false">SUM(M6,Q6)</f>
        <v>510</v>
      </c>
      <c r="X6" s="44" t="n">
        <f aca="false">SUM(N6,R6)</f>
        <v>585351.94</v>
      </c>
      <c r="Y6" s="45"/>
      <c r="Z6" s="40" t="n">
        <v>1985</v>
      </c>
      <c r="AA6" s="40" t="s">
        <v>237</v>
      </c>
    </row>
    <row r="7" customFormat="false" ht="22.35" hidden="false" customHeight="false" outlineLevel="0" collapsed="false">
      <c r="A7" s="26" t="s">
        <v>237</v>
      </c>
      <c r="B7" s="26" t="s"/>
      <c r="C7" s="27" t="n">
        <v>689</v>
      </c>
      <c r="D7" s="28" t="n">
        <v>570350</v>
      </c>
      <c r="E7" s="29"/>
      <c r="F7" s="30"/>
      <c r="G7" s="83" t="s">
        <v>238</v>
      </c>
      <c r="H7" s="32" t="s">
        <v>239</v>
      </c>
      <c r="I7" s="84" t="n">
        <v>3</v>
      </c>
      <c r="J7" s="33" t="n">
        <f aca="false">450+450+450</f>
        <v>1350</v>
      </c>
      <c r="K7" s="46"/>
      <c r="L7" s="34"/>
      <c r="M7" s="35" t="n">
        <f aca="false">SUM(C7,I7)</f>
        <v>692</v>
      </c>
      <c r="N7" s="36" t="n">
        <f aca="false">SUM(D7,J7)</f>
        <v>571700</v>
      </c>
      <c r="O7" s="38" t="s">
        <v>240</v>
      </c>
      <c r="P7" s="38" t="s">
        <v>241</v>
      </c>
      <c r="Q7" s="38" t="n">
        <v>105</v>
      </c>
      <c r="R7" s="39" t="n">
        <v>246371.94</v>
      </c>
      <c r="S7" s="40"/>
      <c r="T7" s="41"/>
      <c r="U7" s="42" t="n">
        <f aca="false">SUM(Q7)</f>
        <v>105</v>
      </c>
      <c r="V7" s="90" t="n">
        <f aca="false">SUM(R7)</f>
        <v>246371.94</v>
      </c>
      <c r="W7" s="35" t="n">
        <f aca="false">SUM(M7,Q7)</f>
        <v>797</v>
      </c>
      <c r="X7" s="44" t="n">
        <f aca="false">SUM(N7,R7)</f>
        <v>818071.94</v>
      </c>
      <c r="Y7" s="45"/>
      <c r="Z7" s="40" t="n">
        <v>1997</v>
      </c>
      <c r="AA7" s="40" t="s">
        <v>242</v>
      </c>
    </row>
    <row r="8" customFormat="false" ht="22.35" hidden="false" customHeight="false" outlineLevel="0" collapsed="false">
      <c r="A8" s="26" t="s">
        <v>242</v>
      </c>
      <c r="B8" s="26" t="s"/>
      <c r="C8" s="27" t="n">
        <v>585</v>
      </c>
      <c r="D8" s="28" t="n">
        <v>604000</v>
      </c>
      <c r="E8" s="29"/>
      <c r="F8" s="30"/>
      <c r="G8" s="83" t="s">
        <v>243</v>
      </c>
      <c r="H8" s="32" t="s">
        <v>244</v>
      </c>
      <c r="I8" s="84" t="n">
        <v>11</v>
      </c>
      <c r="J8" s="33" t="n">
        <f aca="false">200+200+200+200+200+200+200+200+500+1020+200</f>
        <v>3320</v>
      </c>
      <c r="K8" s="46"/>
      <c r="L8" s="34"/>
      <c r="M8" s="35" t="n">
        <f aca="false">SUM(C8,I8)</f>
        <v>596</v>
      </c>
      <c r="N8" s="36" t="n">
        <f aca="false">SUM(D8,J8)</f>
        <v>607320</v>
      </c>
      <c r="O8" s="38" t="s">
        <v>245</v>
      </c>
      <c r="P8" s="38" t="s">
        <v>246</v>
      </c>
      <c r="Q8" s="38" t="n">
        <v>143</v>
      </c>
      <c r="R8" s="39" t="n">
        <v>332553.09</v>
      </c>
      <c r="S8" s="40"/>
      <c r="T8" s="41"/>
      <c r="U8" s="42" t="n">
        <f aca="false">SUM(Q8)</f>
        <v>143</v>
      </c>
      <c r="V8" s="90" t="n">
        <f aca="false">SUM(R8)</f>
        <v>332553.09</v>
      </c>
      <c r="W8" s="35" t="n">
        <f aca="false">SUM(M8,Q8)</f>
        <v>739</v>
      </c>
      <c r="X8" s="44" t="n">
        <f aca="false">SUM(N8,R8)</f>
        <v>939873.09</v>
      </c>
      <c r="Y8" s="45"/>
      <c r="Z8" s="40" t="n">
        <v>2005</v>
      </c>
      <c r="AA8" s="40" t="s">
        <v>247</v>
      </c>
    </row>
    <row r="9" customFormat="false" ht="22.35" hidden="false" customHeight="false" outlineLevel="0" collapsed="false">
      <c r="A9" s="26" t="s">
        <v>248</v>
      </c>
      <c r="B9" s="26" t="s"/>
      <c r="C9" s="27" t="n">
        <v>749</v>
      </c>
      <c r="D9" s="28" t="n">
        <v>881330</v>
      </c>
      <c r="E9" s="29"/>
      <c r="F9" s="30"/>
      <c r="G9" s="83" t="s">
        <v>249</v>
      </c>
      <c r="H9" s="32" t="s">
        <v>250</v>
      </c>
      <c r="I9" s="84" t="n">
        <v>11</v>
      </c>
      <c r="J9" s="33" t="n">
        <f aca="false">1520+200+500+500+1000+200+200+200+200+1620+200</f>
        <v>6340</v>
      </c>
      <c r="K9" s="46"/>
      <c r="L9" s="34"/>
      <c r="M9" s="35" t="n">
        <f aca="false">SUM(C9,I9)</f>
        <v>760</v>
      </c>
      <c r="N9" s="36" t="n">
        <f aca="false">SUM(D9,J9)</f>
        <v>887670</v>
      </c>
      <c r="O9" s="38" t="s">
        <v>251</v>
      </c>
      <c r="P9" s="38" t="s">
        <v>252</v>
      </c>
      <c r="Q9" s="38" t="n">
        <v>359</v>
      </c>
      <c r="R9" s="39" t="n">
        <v>616772.7</v>
      </c>
      <c r="S9" s="40"/>
      <c r="T9" s="41"/>
      <c r="U9" s="42" t="n">
        <f aca="false">SUM(Q9)</f>
        <v>359</v>
      </c>
      <c r="V9" s="90" t="n">
        <f aca="false">SUM(R9)</f>
        <v>616772.7</v>
      </c>
      <c r="W9" s="35" t="n">
        <f aca="false">SUM(M9,Q9)</f>
        <v>1119</v>
      </c>
      <c r="X9" s="44" t="n">
        <f aca="false">SUM(N9,R9)</f>
        <v>1504442.7</v>
      </c>
      <c r="Y9" s="45"/>
      <c r="Z9" s="40" t="n">
        <v>2015</v>
      </c>
      <c r="AA9" s="40" t="s">
        <v>253</v>
      </c>
    </row>
    <row r="10" customFormat="false" ht="22.35" hidden="false" customHeight="false" outlineLevel="0" collapsed="false">
      <c r="A10" s="26" t="s">
        <v>254</v>
      </c>
      <c r="B10" s="26" t="s"/>
      <c r="C10" s="27" t="n">
        <v>478</v>
      </c>
      <c r="D10" s="28" t="n">
        <v>1451080</v>
      </c>
      <c r="E10" s="29"/>
      <c r="F10" s="30"/>
      <c r="G10" s="83" t="s">
        <v>255</v>
      </c>
      <c r="H10" s="32" t="s">
        <v>256</v>
      </c>
      <c r="I10" s="84" t="n">
        <v>6</v>
      </c>
      <c r="J10" s="33" t="n">
        <f aca="false">1220+500+500+200+200+200</f>
        <v>2820</v>
      </c>
      <c r="K10" s="46"/>
      <c r="L10" s="34"/>
      <c r="M10" s="35" t="n">
        <f aca="false">SUM(C10,I10)</f>
        <v>484</v>
      </c>
      <c r="N10" s="36" t="n">
        <f aca="false">SUM(D10,J10)</f>
        <v>1453900</v>
      </c>
      <c r="O10" s="38" t="s">
        <v>257</v>
      </c>
      <c r="P10" s="38" t="s">
        <v>258</v>
      </c>
      <c r="Q10" s="38" t="n">
        <v>230</v>
      </c>
      <c r="R10" s="39" t="n">
        <v>458755.48</v>
      </c>
      <c r="S10" s="40"/>
      <c r="T10" s="41"/>
      <c r="U10" s="42" t="n">
        <f aca="false">SUM(Q10)</f>
        <v>230</v>
      </c>
      <c r="V10" s="90" t="n">
        <f aca="false">SUM(R10)</f>
        <v>458755.48</v>
      </c>
      <c r="W10" s="35" t="n">
        <f aca="false">SUM(M10,Q10)</f>
        <v>714</v>
      </c>
      <c r="X10" s="44" t="n">
        <f aca="false">SUM(N10,R10)</f>
        <v>1912655.48</v>
      </c>
      <c r="Y10" s="45"/>
      <c r="Z10" s="40" t="n">
        <v>2021</v>
      </c>
      <c r="AA10" s="40" t="s">
        <v>259</v>
      </c>
    </row>
    <row r="11" customFormat="false" ht="22.35" hidden="false" customHeight="false" outlineLevel="0" collapsed="false">
      <c r="A11" s="26" t="s">
        <v>260</v>
      </c>
      <c r="B11" s="26" t="s"/>
      <c r="C11" s="27" t="n">
        <v>836</v>
      </c>
      <c r="D11" s="28" t="n">
        <v>1104130</v>
      </c>
      <c r="E11" s="29"/>
      <c r="F11" s="30"/>
      <c r="G11" s="83" t="s">
        <v>261</v>
      </c>
      <c r="H11" s="46" t="s">
        <v>38</v>
      </c>
      <c r="I11" s="84" t="n">
        <v>1</v>
      </c>
      <c r="J11" s="33" t="n">
        <v>1800</v>
      </c>
      <c r="K11" s="46"/>
      <c r="L11" s="34"/>
      <c r="M11" s="35" t="n">
        <f aca="false">SUM(C11,I11)</f>
        <v>837</v>
      </c>
      <c r="N11" s="36" t="n">
        <f aca="false">SUM(D11,J11)</f>
        <v>1105930</v>
      </c>
      <c r="O11" s="38" t="s">
        <v>262</v>
      </c>
      <c r="P11" s="38" t="s">
        <v>263</v>
      </c>
      <c r="Q11" s="38" t="n">
        <v>353</v>
      </c>
      <c r="R11" s="39" t="n">
        <v>657793.87</v>
      </c>
      <c r="S11" s="40"/>
      <c r="T11" s="41"/>
      <c r="U11" s="42" t="n">
        <f aca="false">SUM(Q11)</f>
        <v>353</v>
      </c>
      <c r="V11" s="90" t="n">
        <f aca="false">SUM(R11)</f>
        <v>657793.87</v>
      </c>
      <c r="W11" s="35" t="n">
        <f aca="false">SUM(M11,Q11)</f>
        <v>1190</v>
      </c>
      <c r="X11" s="44" t="n">
        <f aca="false">SUM(N11,R11)</f>
        <v>1763723.87</v>
      </c>
      <c r="Y11" s="45"/>
      <c r="Z11" s="40" t="n">
        <v>2026</v>
      </c>
      <c r="AA11" s="40" t="s">
        <v>264</v>
      </c>
    </row>
    <row r="12" customFormat="false" ht="22.35" hidden="false" customHeight="false" outlineLevel="0" collapsed="false">
      <c r="A12" s="26" t="s">
        <v>259</v>
      </c>
      <c r="B12" s="26" t="s"/>
      <c r="C12" s="27" t="n">
        <v>770</v>
      </c>
      <c r="D12" s="28" t="n">
        <v>787060</v>
      </c>
      <c r="E12" s="29"/>
      <c r="F12" s="30"/>
      <c r="G12" s="83" t="s">
        <v>265</v>
      </c>
      <c r="H12" s="32" t="s">
        <v>266</v>
      </c>
      <c r="I12" s="84" t="n">
        <v>4</v>
      </c>
      <c r="J12" s="33" t="n">
        <f aca="false">600+1220+1000+200</f>
        <v>3020</v>
      </c>
      <c r="K12" s="46"/>
      <c r="L12" s="34"/>
      <c r="M12" s="35" t="n">
        <f aca="false">SUM(C12,I12)</f>
        <v>774</v>
      </c>
      <c r="N12" s="36" t="n">
        <f aca="false">SUM(D12,J12)</f>
        <v>790080</v>
      </c>
      <c r="O12" s="38" t="s">
        <v>267</v>
      </c>
      <c r="P12" s="38" t="s">
        <v>268</v>
      </c>
      <c r="Q12" s="38" t="n">
        <v>225</v>
      </c>
      <c r="R12" s="39" t="n">
        <v>406368.09</v>
      </c>
      <c r="S12" s="40"/>
      <c r="T12" s="41"/>
      <c r="U12" s="42" t="n">
        <f aca="false">SUM(Q12)</f>
        <v>225</v>
      </c>
      <c r="V12" s="90" t="n">
        <f aca="false">SUM(R12)</f>
        <v>406368.09</v>
      </c>
      <c r="W12" s="35" t="n">
        <f aca="false">SUM(M12,Q12)</f>
        <v>999</v>
      </c>
      <c r="X12" s="44" t="n">
        <f aca="false">SUM(N12,R12)</f>
        <v>1196448.09</v>
      </c>
      <c r="Y12" s="45"/>
      <c r="Z12" s="40" t="n">
        <v>2031</v>
      </c>
      <c r="AA12" s="40" t="s">
        <v>264</v>
      </c>
    </row>
    <row r="13" customFormat="false" ht="22.35" hidden="false" customHeight="false" outlineLevel="0" collapsed="false">
      <c r="A13" s="26" t="s">
        <v>269</v>
      </c>
      <c r="B13" s="26" t="s"/>
      <c r="C13" s="27" t="n">
        <v>1146</v>
      </c>
      <c r="D13" s="28" t="n">
        <v>1347160</v>
      </c>
      <c r="E13" s="29"/>
      <c r="F13" s="30"/>
      <c r="G13" s="83" t="s">
        <v>270</v>
      </c>
      <c r="H13" s="32" t="s">
        <v>271</v>
      </c>
      <c r="I13" s="84" t="n">
        <v>4</v>
      </c>
      <c r="J13" s="33" t="n">
        <f aca="false">200+200+200+200</f>
        <v>800</v>
      </c>
      <c r="K13" s="46"/>
      <c r="L13" s="34"/>
      <c r="M13" s="35" t="n">
        <f aca="false">SUM(C13,I13)</f>
        <v>1150</v>
      </c>
      <c r="N13" s="36" t="n">
        <f aca="false">SUM(D13,J13)</f>
        <v>1347960</v>
      </c>
      <c r="O13" s="38" t="s">
        <v>272</v>
      </c>
      <c r="P13" s="38" t="s">
        <v>273</v>
      </c>
      <c r="Q13" s="38" t="n">
        <v>379</v>
      </c>
      <c r="R13" s="39" t="n">
        <v>697181.61</v>
      </c>
      <c r="S13" s="40"/>
      <c r="T13" s="41"/>
      <c r="U13" s="42" t="n">
        <f aca="false">SUM(Q13)</f>
        <v>379</v>
      </c>
      <c r="V13" s="90" t="n">
        <f aca="false">SUM(R13)</f>
        <v>697181.61</v>
      </c>
      <c r="W13" s="35" t="n">
        <f aca="false">SUM(M13,Q13)</f>
        <v>1529</v>
      </c>
      <c r="X13" s="44" t="n">
        <f aca="false">SUM(N13,R13)</f>
        <v>2045141.61</v>
      </c>
      <c r="Y13" s="45"/>
      <c r="Z13" s="40" t="n">
        <v>2042</v>
      </c>
      <c r="AA13" s="40" t="s">
        <v>274</v>
      </c>
    </row>
    <row r="14" customFormat="false" ht="22.35" hidden="false" customHeight="false" outlineLevel="0" collapsed="false">
      <c r="A14" s="26" t="s">
        <v>274</v>
      </c>
      <c r="B14" s="26" t="s"/>
      <c r="C14" s="27" t="n">
        <v>772</v>
      </c>
      <c r="D14" s="28" t="n">
        <v>839080</v>
      </c>
      <c r="E14" s="29"/>
      <c r="F14" s="30"/>
      <c r="G14" s="83" t="s">
        <v>275</v>
      </c>
      <c r="H14" s="32" t="s">
        <v>276</v>
      </c>
      <c r="I14" s="84" t="n">
        <v>5</v>
      </c>
      <c r="J14" s="33" t="n">
        <f aca="false">500+500+500+450+500</f>
        <v>2450</v>
      </c>
      <c r="K14" s="46"/>
      <c r="L14" s="34"/>
      <c r="M14" s="35" t="n">
        <f aca="false">SUM(C14,I14)</f>
        <v>777</v>
      </c>
      <c r="N14" s="36" t="n">
        <f aca="false">SUM(D14,J14)</f>
        <v>841530</v>
      </c>
      <c r="O14" s="38" t="s">
        <v>277</v>
      </c>
      <c r="P14" s="38" t="s">
        <v>278</v>
      </c>
      <c r="Q14" s="38" t="n">
        <v>252</v>
      </c>
      <c r="R14" s="39" t="n">
        <v>536047.45</v>
      </c>
      <c r="S14" s="40"/>
      <c r="T14" s="41"/>
      <c r="U14" s="42" t="n">
        <f aca="false">SUM(Q14)</f>
        <v>252</v>
      </c>
      <c r="V14" s="90" t="n">
        <f aca="false">SUM(R14)</f>
        <v>536047.45</v>
      </c>
      <c r="W14" s="35" t="n">
        <f aca="false">SUM(M14,Q14)</f>
        <v>1029</v>
      </c>
      <c r="X14" s="44" t="n">
        <f aca="false">SUM(N14,R14)</f>
        <v>1377577.45</v>
      </c>
      <c r="Y14" s="45"/>
      <c r="Z14" s="40" t="n">
        <v>2050</v>
      </c>
      <c r="AA14" s="40" t="s">
        <v>279</v>
      </c>
    </row>
    <row r="15" customFormat="false" ht="22.35" hidden="false" customHeight="false" outlineLevel="0" collapsed="false">
      <c r="A15" s="26" t="s">
        <v>279</v>
      </c>
      <c r="B15" s="26" t="s"/>
      <c r="C15" s="27" t="n">
        <v>467</v>
      </c>
      <c r="D15" s="28" t="n">
        <v>1678930</v>
      </c>
      <c r="E15" s="29"/>
      <c r="F15" s="30"/>
      <c r="G15" s="83" t="s">
        <v>280</v>
      </c>
      <c r="H15" s="32" t="s">
        <v>281</v>
      </c>
      <c r="I15" s="84" t="n">
        <v>6</v>
      </c>
      <c r="J15" s="33" t="n">
        <f aca="false">200+200+200+200+1620+200</f>
        <v>2620</v>
      </c>
      <c r="K15" s="46"/>
      <c r="L15" s="34"/>
      <c r="M15" s="35" t="n">
        <f aca="false">SUM(C15,I15)</f>
        <v>473</v>
      </c>
      <c r="N15" s="36" t="n">
        <f aca="false">SUM(D15,J15)</f>
        <v>1681550</v>
      </c>
      <c r="O15" s="38" t="s">
        <v>282</v>
      </c>
      <c r="P15" s="38" t="s">
        <v>283</v>
      </c>
      <c r="Q15" s="38" t="n">
        <v>221</v>
      </c>
      <c r="R15" s="39" t="n">
        <v>513441.92</v>
      </c>
      <c r="S15" s="40"/>
      <c r="T15" s="41"/>
      <c r="U15" s="42" t="n">
        <f aca="false">SUM(Q15)</f>
        <v>221</v>
      </c>
      <c r="V15" s="90" t="n">
        <f aca="false">SUM(R15)</f>
        <v>513441.92</v>
      </c>
      <c r="W15" s="35" t="n">
        <f aca="false">SUM(M15,Q15)</f>
        <v>694</v>
      </c>
      <c r="X15" s="44" t="n">
        <f aca="false">SUM(N15,R15)</f>
        <v>2194991.92</v>
      </c>
      <c r="Y15" s="45"/>
      <c r="Z15" s="40" t="n">
        <v>2057</v>
      </c>
      <c r="AA15" s="40" t="s">
        <v>284</v>
      </c>
    </row>
    <row r="16" customFormat="false" ht="22.35" hidden="false" customHeight="false" outlineLevel="0" collapsed="false">
      <c r="A16" s="26" t="s">
        <v>284</v>
      </c>
      <c r="B16" s="26" t="s"/>
      <c r="C16" s="27" t="n">
        <v>470</v>
      </c>
      <c r="D16" s="28" t="n">
        <v>793320</v>
      </c>
      <c r="E16" s="29"/>
      <c r="F16" s="30"/>
      <c r="G16" s="83" t="s">
        <v>285</v>
      </c>
      <c r="H16" s="32" t="s">
        <v>286</v>
      </c>
      <c r="I16" s="84" t="n">
        <v>11</v>
      </c>
      <c r="J16" s="33" t="n">
        <f aca="false">200+1520+1920+200+1800+1520+200+1020+1220+200+500</f>
        <v>10300</v>
      </c>
      <c r="K16" s="46"/>
      <c r="L16" s="34"/>
      <c r="M16" s="35" t="n">
        <f aca="false">SUM(C16,I16)</f>
        <v>481</v>
      </c>
      <c r="N16" s="36" t="n">
        <f aca="false">SUM(D16,J16)</f>
        <v>803620</v>
      </c>
      <c r="O16" s="38" t="s">
        <v>287</v>
      </c>
      <c r="P16" s="38" t="s">
        <v>288</v>
      </c>
      <c r="Q16" s="38" t="n">
        <v>228</v>
      </c>
      <c r="R16" s="39" t="n">
        <v>507680.9</v>
      </c>
      <c r="S16" s="40"/>
      <c r="T16" s="41"/>
      <c r="U16" s="42" t="n">
        <f aca="false">SUM(Q16)</f>
        <v>228</v>
      </c>
      <c r="V16" s="90" t="n">
        <f aca="false">SUM(R16)</f>
        <v>507680.9</v>
      </c>
      <c r="W16" s="35" t="n">
        <f aca="false">SUM(M16,Q16)</f>
        <v>709</v>
      </c>
      <c r="X16" s="44" t="n">
        <f aca="false">SUM(N16,R16)</f>
        <v>1311300.9</v>
      </c>
      <c r="Y16" s="45"/>
      <c r="Z16" s="40" t="n">
        <v>2067</v>
      </c>
      <c r="AA16" s="40" t="s">
        <v>289</v>
      </c>
    </row>
    <row r="17" customFormat="false" ht="22.35" hidden="false" customHeight="false" outlineLevel="0" collapsed="false">
      <c r="A17" s="26" t="s">
        <v>289</v>
      </c>
      <c r="B17" s="26" t="s"/>
      <c r="C17" s="27" t="n">
        <v>471</v>
      </c>
      <c r="D17" s="28" t="n">
        <v>508830</v>
      </c>
      <c r="E17" s="29"/>
      <c r="F17" s="30"/>
      <c r="G17" s="83" t="s">
        <v>290</v>
      </c>
      <c r="H17" s="32" t="s">
        <v>291</v>
      </c>
      <c r="I17" s="84" t="n">
        <v>7</v>
      </c>
      <c r="J17" s="33" t="n">
        <f aca="false">500+2200+1220+1520+450+500+1000</f>
        <v>7390</v>
      </c>
      <c r="K17" s="46"/>
      <c r="L17" s="34"/>
      <c r="M17" s="35" t="n">
        <f aca="false">SUM(C17,I17)</f>
        <v>478</v>
      </c>
      <c r="N17" s="36" t="n">
        <f aca="false">SUM(D17,J17)</f>
        <v>516220</v>
      </c>
      <c r="O17" s="38" t="s">
        <v>292</v>
      </c>
      <c r="P17" s="38" t="s">
        <v>293</v>
      </c>
      <c r="Q17" s="38" t="n">
        <v>267</v>
      </c>
      <c r="R17" s="39" t="n">
        <v>579454.2</v>
      </c>
      <c r="S17" s="40"/>
      <c r="T17" s="41"/>
      <c r="U17" s="42" t="n">
        <f aca="false">SUM(Q17)</f>
        <v>267</v>
      </c>
      <c r="V17" s="90" t="n">
        <f aca="false">SUM(R17)</f>
        <v>579454.2</v>
      </c>
      <c r="W17" s="35" t="n">
        <f aca="false">SUM(M17,Q17)</f>
        <v>745</v>
      </c>
      <c r="X17" s="44" t="n">
        <f aca="false">SUM(N17,R17)</f>
        <v>1095674.2</v>
      </c>
      <c r="Y17" s="45"/>
      <c r="Z17" s="40" t="n">
        <v>2072</v>
      </c>
      <c r="AA17" s="40" t="s">
        <v>294</v>
      </c>
    </row>
    <row r="18" customFormat="false" ht="22.35" hidden="false" customHeight="false" outlineLevel="0" collapsed="false">
      <c r="A18" s="26" t="s">
        <v>295</v>
      </c>
      <c r="B18" s="26" t="s"/>
      <c r="C18" s="27" t="n">
        <v>657</v>
      </c>
      <c r="D18" s="28" t="n">
        <v>756940</v>
      </c>
      <c r="E18" s="29"/>
      <c r="F18" s="30"/>
      <c r="G18" s="32" t="s">
        <v>296</v>
      </c>
      <c r="H18" s="32" t="s">
        <v>297</v>
      </c>
      <c r="I18" s="84" t="n">
        <v>5</v>
      </c>
      <c r="J18" s="33" t="n">
        <f aca="false">200+200+620+1720+450</f>
        <v>3190</v>
      </c>
      <c r="K18" s="46"/>
      <c r="L18" s="34"/>
      <c r="M18" s="35" t="n">
        <f aca="false">SUM(C18,I18)</f>
        <v>662</v>
      </c>
      <c r="N18" s="36" t="n">
        <f aca="false">SUM(D18,J18)</f>
        <v>760130</v>
      </c>
      <c r="O18" s="38" t="s">
        <v>298</v>
      </c>
      <c r="P18" s="38" t="s">
        <v>299</v>
      </c>
      <c r="Q18" s="38" t="n">
        <v>409</v>
      </c>
      <c r="R18" s="39" t="n">
        <v>1021700</v>
      </c>
      <c r="S18" s="40"/>
      <c r="T18" s="41"/>
      <c r="U18" s="42" t="n">
        <f aca="false">SUM(Q18)</f>
        <v>409</v>
      </c>
      <c r="V18" s="90" t="n">
        <f aca="false">SUM(R18)</f>
        <v>1021700</v>
      </c>
      <c r="W18" s="35" t="n">
        <f aca="false">SUM(M18,Q18)</f>
        <v>1071</v>
      </c>
      <c r="X18" s="44" t="n">
        <f aca="false">SUM(N18,R18)</f>
        <v>1781830</v>
      </c>
      <c r="Y18" s="47"/>
      <c r="Z18" s="40" t="n">
        <v>2082</v>
      </c>
      <c r="AA18" s="40" t="s">
        <v>300</v>
      </c>
    </row>
    <row r="19" customFormat="false" ht="22.35" hidden="false" customHeight="false" outlineLevel="0" collapsed="false">
      <c r="A19" s="26" t="s">
        <v>300</v>
      </c>
      <c r="B19" s="26" t="s"/>
      <c r="C19" s="27" t="n">
        <v>657</v>
      </c>
      <c r="D19" s="28" t="n">
        <v>746810</v>
      </c>
      <c r="E19" s="29"/>
      <c r="F19" s="30"/>
      <c r="G19" s="83" t="s">
        <v>301</v>
      </c>
      <c r="H19" s="32" t="s">
        <v>302</v>
      </c>
      <c r="I19" s="84" t="n">
        <v>5</v>
      </c>
      <c r="J19" s="33" t="n">
        <f aca="false">200+3400+1620+500+200</f>
        <v>5920</v>
      </c>
      <c r="K19" s="46"/>
      <c r="L19" s="34"/>
      <c r="M19" s="35" t="n">
        <f aca="false">SUM(C19,I19)</f>
        <v>662</v>
      </c>
      <c r="N19" s="36" t="n">
        <f aca="false">SUM(D19,J19)</f>
        <v>752730</v>
      </c>
      <c r="O19" s="38" t="s">
        <v>303</v>
      </c>
      <c r="P19" s="38" t="s">
        <v>304</v>
      </c>
      <c r="Q19" s="38" t="n">
        <v>250</v>
      </c>
      <c r="R19" s="39" t="n">
        <v>515093.87</v>
      </c>
      <c r="S19" s="40"/>
      <c r="T19" s="41"/>
      <c r="U19" s="42" t="n">
        <f aca="false">SUM(Q19)</f>
        <v>250</v>
      </c>
      <c r="V19" s="90" t="n">
        <f aca="false">SUM(R19)</f>
        <v>515093.87</v>
      </c>
      <c r="W19" s="35" t="n">
        <f aca="false">SUM(M19,Q19)</f>
        <v>912</v>
      </c>
      <c r="X19" s="44" t="n">
        <f aca="false">SUM(N19,R19)</f>
        <v>1267823.87</v>
      </c>
      <c r="Y19" s="47"/>
      <c r="Z19" s="40" t="n">
        <v>2089</v>
      </c>
      <c r="AA19" s="40" t="s">
        <v>305</v>
      </c>
    </row>
    <row r="20" customFormat="false" ht="22.35" hidden="false" customHeight="false" outlineLevel="0" collapsed="false">
      <c r="A20" s="26" t="s">
        <v>305</v>
      </c>
      <c r="B20" s="26" t="s"/>
      <c r="C20" s="27" t="n">
        <v>482</v>
      </c>
      <c r="D20" s="28" t="n">
        <v>588570</v>
      </c>
      <c r="E20" s="29"/>
      <c r="F20" s="30"/>
      <c r="G20" s="83" t="s">
        <v>306</v>
      </c>
      <c r="H20" s="32" t="s">
        <v>307</v>
      </c>
      <c r="I20" s="84" t="n">
        <v>11</v>
      </c>
      <c r="J20" s="33" t="n">
        <f aca="false">450+450+600+300+200+500+500+400+1000+500+1800</f>
        <v>6700</v>
      </c>
      <c r="K20" s="46"/>
      <c r="L20" s="34"/>
      <c r="M20" s="35" t="n">
        <f aca="false">SUM(C20,I20)</f>
        <v>493</v>
      </c>
      <c r="N20" s="36" t="n">
        <f aca="false">SUM(D20,J20)</f>
        <v>595270</v>
      </c>
      <c r="O20" s="38" t="s">
        <v>308</v>
      </c>
      <c r="P20" s="38" t="s">
        <v>309</v>
      </c>
      <c r="Q20" s="38" t="n">
        <v>238</v>
      </c>
      <c r="R20" s="39" t="n">
        <v>469670.34</v>
      </c>
      <c r="S20" s="40"/>
      <c r="T20" s="41"/>
      <c r="U20" s="42" t="n">
        <f aca="false">SUM(Q20)</f>
        <v>238</v>
      </c>
      <c r="V20" s="90" t="n">
        <f aca="false">SUM(R20)</f>
        <v>469670.34</v>
      </c>
      <c r="W20" s="35" t="n">
        <f aca="false">SUM(M20,Q20)</f>
        <v>731</v>
      </c>
      <c r="X20" s="44" t="n">
        <f aca="false">SUM(N20,R20)</f>
        <v>1064940.34</v>
      </c>
      <c r="Y20" s="45"/>
      <c r="Z20" s="40" t="n">
        <v>2097</v>
      </c>
      <c r="AA20" s="40" t="s">
        <v>310</v>
      </c>
    </row>
    <row r="21" customFormat="false" ht="22.35" hidden="false" customHeight="false" outlineLevel="0" collapsed="false">
      <c r="A21" s="26" t="s">
        <v>310</v>
      </c>
      <c r="B21" s="26" t="s"/>
      <c r="C21" s="27" t="n">
        <v>634</v>
      </c>
      <c r="D21" s="28" t="n">
        <v>683640</v>
      </c>
      <c r="E21" s="29"/>
      <c r="F21" s="30"/>
      <c r="G21" s="83" t="s">
        <v>311</v>
      </c>
      <c r="H21" s="32" t="s">
        <v>312</v>
      </c>
      <c r="I21" s="84" t="n">
        <v>14</v>
      </c>
      <c r="J21" s="33" t="n">
        <f aca="false">1720+200+200+200+200+200+1400+1920+450+2500+450+500+500+500</f>
        <v>10940</v>
      </c>
      <c r="K21" s="46"/>
      <c r="L21" s="34"/>
      <c r="M21" s="35" t="n">
        <f aca="false">SUM(C21,I21)</f>
        <v>648</v>
      </c>
      <c r="N21" s="36" t="n">
        <f aca="false">SUM(D21,J21)</f>
        <v>694580</v>
      </c>
      <c r="O21" s="38" t="s">
        <v>313</v>
      </c>
      <c r="P21" s="38" t="s">
        <v>314</v>
      </c>
      <c r="Q21" s="38" t="n">
        <v>226</v>
      </c>
      <c r="R21" s="39" t="n">
        <v>403046.15</v>
      </c>
      <c r="S21" s="40"/>
      <c r="T21" s="41"/>
      <c r="U21" s="42" t="n">
        <f aca="false">SUM(Q21)</f>
        <v>226</v>
      </c>
      <c r="V21" s="90" t="n">
        <f aca="false">SUM(R21)</f>
        <v>403046.15</v>
      </c>
      <c r="W21" s="35" t="n">
        <f aca="false">SUM(M21,Q21)</f>
        <v>874</v>
      </c>
      <c r="X21" s="44" t="n">
        <f aca="false">SUM(N21,R21)</f>
        <v>1097626.15</v>
      </c>
      <c r="Y21" s="45"/>
      <c r="Z21" s="40" t="n">
        <v>2108</v>
      </c>
      <c r="AA21" s="40" t="s">
        <v>315</v>
      </c>
    </row>
    <row r="22" customFormat="false" ht="22.35" hidden="false" customHeight="false" outlineLevel="0" collapsed="false">
      <c r="A22" s="26" t="s">
        <v>315</v>
      </c>
      <c r="B22" s="26" t="s"/>
      <c r="C22" s="27" t="n">
        <v>572</v>
      </c>
      <c r="D22" s="28" t="n">
        <v>538570</v>
      </c>
      <c r="E22" s="29"/>
      <c r="F22" s="30"/>
      <c r="G22" s="83" t="s">
        <v>316</v>
      </c>
      <c r="H22" s="32" t="s">
        <v>317</v>
      </c>
      <c r="I22" s="84" t="n">
        <v>30</v>
      </c>
      <c r="J22" s="33" t="n">
        <f aca="false">450+450+450+450+450+450+200+450+1000+450+450+450+1000+1000+1000+450+400+200+1800+450+450+450+450+450+450+450+450+450+500+500</f>
        <v>16600</v>
      </c>
      <c r="K22" s="46"/>
      <c r="L22" s="34"/>
      <c r="M22" s="35" t="n">
        <f aca="false">SUM(C22,I22)</f>
        <v>602</v>
      </c>
      <c r="N22" s="36" t="n">
        <f aca="false">SUM(D22,J22)</f>
        <v>555170</v>
      </c>
      <c r="O22" s="38" t="s">
        <v>318</v>
      </c>
      <c r="P22" s="38" t="s">
        <v>319</v>
      </c>
      <c r="Q22" s="38" t="n">
        <v>228</v>
      </c>
      <c r="R22" s="39" t="n">
        <v>424642.57</v>
      </c>
      <c r="S22" s="40"/>
      <c r="T22" s="41"/>
      <c r="U22" s="42" t="n">
        <f aca="false">SUM(Q22)</f>
        <v>228</v>
      </c>
      <c r="V22" s="90" t="n">
        <f aca="false">SUM(R22)</f>
        <v>424642.57</v>
      </c>
      <c r="W22" s="35" t="n">
        <f aca="false">SUM(M22,Q22)</f>
        <v>830</v>
      </c>
      <c r="X22" s="44" t="n">
        <f aca="false">SUM(N22,R22)</f>
        <v>979812.57</v>
      </c>
      <c r="Y22" s="45"/>
      <c r="Z22" s="40" t="n">
        <v>2114</v>
      </c>
      <c r="AA22" s="40" t="s">
        <v>320</v>
      </c>
    </row>
    <row r="23" customFormat="false" ht="22.35" hidden="false" customHeight="false" outlineLevel="0" collapsed="false">
      <c r="A23" s="26" t="s">
        <v>321</v>
      </c>
      <c r="B23" s="26" t="s"/>
      <c r="C23" s="27" t="n">
        <v>889</v>
      </c>
      <c r="D23" s="28" t="n">
        <v>1999770</v>
      </c>
      <c r="E23" s="29"/>
      <c r="F23" s="30"/>
      <c r="G23" s="83" t="s">
        <v>322</v>
      </c>
      <c r="H23" s="32" t="s">
        <v>323</v>
      </c>
      <c r="I23" s="84" t="n">
        <v>54</v>
      </c>
      <c r="J23" s="33" t="n">
        <v>58400</v>
      </c>
      <c r="K23" s="46"/>
      <c r="L23" s="34"/>
      <c r="M23" s="35" t="n">
        <f aca="false">SUM(C23,I23)</f>
        <v>943</v>
      </c>
      <c r="N23" s="36" t="n">
        <f aca="false">SUM(D23,J23)</f>
        <v>2058170</v>
      </c>
      <c r="O23" s="37" t="s">
        <v>324</v>
      </c>
      <c r="P23" s="38" t="s">
        <v>325</v>
      </c>
      <c r="Q23" s="38" t="n">
        <v>345</v>
      </c>
      <c r="R23" s="39" t="n">
        <v>630106.12</v>
      </c>
      <c r="S23" s="40"/>
      <c r="T23" s="41"/>
      <c r="U23" s="42" t="n">
        <f aca="false">SUM(Q23)</f>
        <v>345</v>
      </c>
      <c r="V23" s="90" t="n">
        <f aca="false">SUM(R23)</f>
        <v>630106.12</v>
      </c>
      <c r="W23" s="35" t="n">
        <f aca="false">SUM(M23,Q23)</f>
        <v>1288</v>
      </c>
      <c r="X23" s="44" t="n">
        <f aca="false">SUM(N23,R23)</f>
        <v>2688276.12</v>
      </c>
      <c r="Y23" s="45"/>
      <c r="Z23" s="40" t="n">
        <v>2125</v>
      </c>
      <c r="AA23" s="40" t="s">
        <v>326</v>
      </c>
    </row>
    <row r="24" customFormat="false" ht="43.25" hidden="false" customHeight="false" outlineLevel="0" collapsed="false">
      <c r="A24" s="26" t="s">
        <v>326</v>
      </c>
      <c r="B24" s="26" t="s"/>
      <c r="C24" s="49" t="n">
        <v>246</v>
      </c>
      <c r="D24" s="50" t="n">
        <v>255650</v>
      </c>
      <c r="E24" s="51"/>
      <c r="F24" s="52"/>
      <c r="G24" s="87" t="s">
        <v>327</v>
      </c>
      <c r="H24" s="91" t="s">
        <v>328</v>
      </c>
      <c r="I24" s="54" t="n">
        <v>73</v>
      </c>
      <c r="J24" s="56" t="n">
        <v>46720</v>
      </c>
      <c r="K24" s="55"/>
      <c r="L24" s="57"/>
      <c r="M24" s="35" t="n">
        <f aca="false">SUM(C24,I24)</f>
        <v>319</v>
      </c>
      <c r="N24" s="36" t="n">
        <f aca="false">SUM(D24,J24)</f>
        <v>302370</v>
      </c>
      <c r="O24" s="88" t="s">
        <v>329</v>
      </c>
      <c r="P24" s="89" t="s">
        <v>330</v>
      </c>
      <c r="Q24" s="60" t="n">
        <v>170</v>
      </c>
      <c r="R24" s="61" t="n">
        <v>332696.12</v>
      </c>
      <c r="S24" s="62"/>
      <c r="T24" s="63"/>
      <c r="U24" s="42" t="n">
        <f aca="false">SUM(Q24)</f>
        <v>170</v>
      </c>
      <c r="V24" s="90" t="n">
        <f aca="false">SUM(R24)</f>
        <v>332696.12</v>
      </c>
      <c r="W24" s="35" t="n">
        <f aca="false">SUM(M24,Q24)</f>
        <v>489</v>
      </c>
      <c r="X24" s="44" t="n">
        <f aca="false">SUM(N24,R24)</f>
        <v>635066.12</v>
      </c>
      <c r="Y24" s="92" t="s">
        <v>331</v>
      </c>
      <c r="Z24" s="40" t="n">
        <v>2131</v>
      </c>
      <c r="AA24" s="40" t="s">
        <v>332</v>
      </c>
    </row>
    <row r="25" customFormat="false" ht="19.7" hidden="false" customHeight="false" outlineLevel="0" collapsed="false">
      <c r="A25" s="66" t="s">
        <v>122</v>
      </c>
      <c r="B25" s="66" t="s"/>
      <c r="C25" s="67" t="n">
        <f aca="false">SUM(C6:C24)</f>
        <v>12038</v>
      </c>
      <c r="D25" s="68" t="n">
        <f aca="false">SUM(D6:D24)</f>
        <v>16613850</v>
      </c>
      <c r="E25" s="69" t="n">
        <f aca="false">SUM(E6:E23)</f>
        <v>0</v>
      </c>
      <c r="F25" s="70" t="n">
        <f aca="false">SUM(F6:F23)</f>
        <v>0</v>
      </c>
      <c r="G25" s="71" t="s">
        <v>122</v>
      </c>
      <c r="H25" s="71"/>
      <c r="I25" s="72" t="n">
        <f aca="false">SUM(I6:I24)</f>
        <v>264</v>
      </c>
      <c r="J25" s="68" t="n">
        <f aca="false">SUM(J6:J24)</f>
        <v>193880</v>
      </c>
      <c r="K25" s="69" t="n">
        <f aca="false">SUM(K6:K23)</f>
        <v>0</v>
      </c>
      <c r="L25" s="70" t="n">
        <f aca="false">SUM(L6:L23)</f>
        <v>0</v>
      </c>
      <c r="M25" s="73" t="n">
        <f aca="false">SUM(M6:M23)</f>
        <v>11983</v>
      </c>
      <c r="N25" s="74" t="n">
        <f aca="false">SUM(N6:N23)</f>
        <v>16505360</v>
      </c>
      <c r="O25" s="71" t="s">
        <v>122</v>
      </c>
      <c r="P25" s="71"/>
      <c r="Q25" s="75" t="n">
        <f aca="false">SUM(Q6:Q24)</f>
        <v>4667</v>
      </c>
      <c r="R25" s="76" t="n">
        <f aca="false">SUM(R6:R24)</f>
        <v>9452898.36</v>
      </c>
      <c r="S25" s="69" t="n">
        <f aca="false">SUM(S6:S23)</f>
        <v>0</v>
      </c>
      <c r="T25" s="70" t="n">
        <f aca="false">SUM(T6:T23)</f>
        <v>0</v>
      </c>
      <c r="U25" s="93" t="n">
        <f aca="false">SUM(U6:U23)</f>
        <v>4497</v>
      </c>
      <c r="V25" s="94" t="n">
        <f aca="false">SUM(V6:V23)</f>
        <v>9120202.24</v>
      </c>
      <c r="W25" s="73" t="n">
        <f aca="false">SUM(W6:W24)</f>
        <v>16969</v>
      </c>
      <c r="X25" s="79" t="n">
        <f aca="false">SUM(X6:X24)</f>
        <v>26260628.36</v>
      </c>
      <c r="Y25" s="80"/>
      <c r="Z25" s="81"/>
      <c r="AA25" s="81"/>
    </row>
    <row r="26" customFormat="false" ht="15.75" hidden="false" customHeight="false" outlineLevel="0" collapsed="false">
      <c r="A26" s="2"/>
      <c r="B26" s="2"/>
      <c r="C26" s="2"/>
      <c r="D26" s="82"/>
      <c r="E26" s="2"/>
      <c r="F26" s="2"/>
      <c r="G26" s="2"/>
      <c r="H26" s="2"/>
      <c r="I26" s="3"/>
      <c r="J26" s="3"/>
      <c r="K26" s="2"/>
      <c r="L26" s="2"/>
      <c r="M26" s="2"/>
      <c r="N26" s="2"/>
      <c r="O26" s="2"/>
      <c r="P26" s="2"/>
      <c r="Q26" s="3"/>
      <c r="R26" s="3"/>
      <c r="S26" s="2"/>
      <c r="T26" s="2"/>
      <c r="U26" s="2"/>
      <c r="V26" s="2"/>
      <c r="W26" s="2"/>
      <c r="X26" s="2"/>
      <c r="Y26" s="65"/>
      <c r="Z26" s="2"/>
      <c r="AA26" s="2"/>
    </row>
    <row r="27" customFormat="false" ht="15.75" hidden="false" customHeight="false" outlineLevel="0" collapsed="false">
      <c r="A27" s="2"/>
      <c r="B27" s="2"/>
      <c r="C27" s="2"/>
      <c r="D27" s="3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5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5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5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5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5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mergeCells count="32">
    <mergeCell ref="A1:AA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A3:AA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G25:H25"/>
    <mergeCell ref="O25:P2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outlinePr summaryBelow="0"/>
    <pageSetUpPr fitToPage="true"/>
  </sheetPr>
  <dimension ref="A1:AA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333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3" t="s">
        <v>11</v>
      </c>
      <c r="D4" s="14" t="s">
        <v>12</v>
      </c>
      <c r="E4" s="15" t="s">
        <v>13</v>
      </c>
      <c r="F4" s="15"/>
      <c r="G4" s="16" t="s">
        <v>14</v>
      </c>
      <c r="H4" s="17" t="s">
        <v>15</v>
      </c>
      <c r="I4" s="18" t="s">
        <v>11</v>
      </c>
      <c r="J4" s="18" t="s">
        <v>12</v>
      </c>
      <c r="K4" s="19" t="s">
        <v>16</v>
      </c>
      <c r="L4" s="19"/>
      <c r="M4" s="20" t="s">
        <v>17</v>
      </c>
      <c r="N4" s="21" t="s">
        <v>18</v>
      </c>
      <c r="O4" s="22" t="s">
        <v>14</v>
      </c>
      <c r="P4" s="23" t="s">
        <v>15</v>
      </c>
      <c r="Q4" s="23" t="s">
        <v>11</v>
      </c>
      <c r="R4" s="23" t="s">
        <v>12</v>
      </c>
      <c r="S4" s="24" t="s">
        <v>13</v>
      </c>
      <c r="T4" s="24"/>
      <c r="U4" s="9" t="s">
        <v>17</v>
      </c>
      <c r="V4" s="25" t="s">
        <v>18</v>
      </c>
      <c r="W4" s="20" t="s">
        <v>17</v>
      </c>
      <c r="X4" s="21" t="s">
        <v>18</v>
      </c>
      <c r="Y4" s="10"/>
      <c r="Z4" s="11"/>
      <c r="AA4" s="11"/>
    </row>
    <row r="5" customFormat="false" ht="19.7" hidden="false" customHeight="false" outlineLevel="0" collapsed="false">
      <c r="A5" s="4"/>
      <c r="B5" s="4"/>
      <c r="C5" s="13"/>
      <c r="D5" s="14"/>
      <c r="E5" s="14" t="s">
        <v>19</v>
      </c>
      <c r="F5" s="15" t="s">
        <v>20</v>
      </c>
      <c r="G5" s="16"/>
      <c r="H5" s="17"/>
      <c r="I5" s="17"/>
      <c r="J5" s="17"/>
      <c r="K5" s="17" t="s">
        <v>19</v>
      </c>
      <c r="L5" s="19" t="s">
        <v>20</v>
      </c>
      <c r="M5" s="20"/>
      <c r="N5" s="21"/>
      <c r="O5" s="22"/>
      <c r="P5" s="23"/>
      <c r="Q5" s="23"/>
      <c r="R5" s="23"/>
      <c r="S5" s="23" t="s">
        <v>11</v>
      </c>
      <c r="T5" s="24" t="s">
        <v>20</v>
      </c>
      <c r="U5" s="9"/>
      <c r="V5" s="25"/>
      <c r="W5" s="20"/>
      <c r="X5" s="21"/>
      <c r="Y5" s="10"/>
      <c r="Z5" s="11"/>
      <c r="AA5" s="11"/>
    </row>
    <row r="6" customFormat="false" ht="43.25" hidden="false" customHeight="false" outlineLevel="0" collapsed="false">
      <c r="A6" s="95" t="s">
        <v>334</v>
      </c>
      <c r="B6" s="95" t="s"/>
      <c r="C6" s="27" t="n">
        <v>347</v>
      </c>
      <c r="D6" s="28" t="n">
        <v>299200</v>
      </c>
      <c r="E6" s="29"/>
      <c r="F6" s="30"/>
      <c r="G6" s="83" t="s">
        <v>335</v>
      </c>
      <c r="H6" s="32" t="s">
        <v>336</v>
      </c>
      <c r="I6" s="84" t="n">
        <v>59</v>
      </c>
      <c r="J6" s="33" t="n">
        <v>50320</v>
      </c>
      <c r="K6" s="46"/>
      <c r="L6" s="34"/>
      <c r="M6" s="35" t="n">
        <f aca="false">SUM(C6,I6)</f>
        <v>406</v>
      </c>
      <c r="N6" s="36" t="n">
        <f aca="false">SUM(D6,J6)</f>
        <v>349520</v>
      </c>
      <c r="O6" s="38" t="s">
        <v>337</v>
      </c>
      <c r="P6" s="38" t="s">
        <v>338</v>
      </c>
      <c r="Q6" s="38" t="n">
        <v>429</v>
      </c>
      <c r="R6" s="39" t="n">
        <v>675663.86</v>
      </c>
      <c r="S6" s="40"/>
      <c r="T6" s="41"/>
      <c r="U6" s="42" t="n">
        <f aca="false">SUM(Q6)</f>
        <v>429</v>
      </c>
      <c r="V6" s="90" t="n">
        <f aca="false">SUM(R6)</f>
        <v>675663.86</v>
      </c>
      <c r="W6" s="35" t="n">
        <f aca="false">SUM(M6,Q6)</f>
        <v>835</v>
      </c>
      <c r="X6" s="44" t="n">
        <f aca="false">SUM(N6,R6)</f>
        <v>1025183.86</v>
      </c>
      <c r="Y6" s="45"/>
      <c r="Z6" s="40" t="n">
        <v>2</v>
      </c>
      <c r="AA6" s="40" t="s">
        <v>339</v>
      </c>
    </row>
    <row r="7" customFormat="false" ht="22.35" hidden="false" customHeight="false" outlineLevel="0" collapsed="false">
      <c r="A7" s="26" t="s">
        <v>340</v>
      </c>
      <c r="B7" s="26" t="s"/>
      <c r="C7" s="27" t="n">
        <v>68</v>
      </c>
      <c r="D7" s="28" t="n">
        <v>89280</v>
      </c>
      <c r="E7" s="29"/>
      <c r="F7" s="30"/>
      <c r="G7" s="83" t="s">
        <v>341</v>
      </c>
      <c r="H7" s="32" t="s">
        <v>342</v>
      </c>
      <c r="I7" s="84" t="n">
        <v>11</v>
      </c>
      <c r="J7" s="33" t="n">
        <v>6220</v>
      </c>
      <c r="K7" s="46"/>
      <c r="L7" s="34"/>
      <c r="M7" s="35" t="n">
        <f aca="false">SUM(C7,I7)</f>
        <v>79</v>
      </c>
      <c r="N7" s="36" t="n">
        <f aca="false">SUM(D7,J7)</f>
        <v>95500</v>
      </c>
      <c r="O7" s="38" t="s">
        <v>343</v>
      </c>
      <c r="P7" s="38" t="s">
        <v>344</v>
      </c>
      <c r="Q7" s="38" t="n">
        <v>307</v>
      </c>
      <c r="R7" s="39" t="n">
        <v>629674.52</v>
      </c>
      <c r="S7" s="40"/>
      <c r="T7" s="41"/>
      <c r="U7" s="42" t="n">
        <f aca="false">SUM(Q7)</f>
        <v>307</v>
      </c>
      <c r="V7" s="90" t="n">
        <f aca="false">SUM(R7)</f>
        <v>629674.52</v>
      </c>
      <c r="W7" s="35" t="n">
        <f aca="false">SUM(M7,Q7)</f>
        <v>386</v>
      </c>
      <c r="X7" s="44" t="n">
        <f aca="false">SUM(N7,R7)</f>
        <v>725174.52</v>
      </c>
      <c r="Y7" s="45"/>
      <c r="Z7" s="40" t="n">
        <v>8</v>
      </c>
      <c r="AA7" s="40" t="s">
        <v>345</v>
      </c>
    </row>
    <row r="8" customFormat="false" ht="58.95" hidden="false" customHeight="false" outlineLevel="0" collapsed="false">
      <c r="A8" s="26" t="s">
        <v>346</v>
      </c>
      <c r="B8" s="26" t="s"/>
      <c r="C8" s="27" t="n">
        <v>103</v>
      </c>
      <c r="D8" s="28" t="n">
        <v>76720</v>
      </c>
      <c r="E8" s="29"/>
      <c r="F8" s="30"/>
      <c r="G8" s="83" t="s">
        <v>347</v>
      </c>
      <c r="H8" s="32" t="s">
        <v>348</v>
      </c>
      <c r="I8" s="84" t="n">
        <v>6</v>
      </c>
      <c r="J8" s="33" t="n">
        <v>2550</v>
      </c>
      <c r="K8" s="46"/>
      <c r="L8" s="34"/>
      <c r="M8" s="35" t="n">
        <f aca="false">SUM(C8,I8)</f>
        <v>109</v>
      </c>
      <c r="N8" s="36" t="n">
        <f aca="false">SUM(D8,J8)</f>
        <v>79270</v>
      </c>
      <c r="O8" s="38" t="s">
        <v>349</v>
      </c>
      <c r="P8" s="38" t="s">
        <v>350</v>
      </c>
      <c r="Q8" s="38" t="n">
        <v>289</v>
      </c>
      <c r="R8" s="39" t="n">
        <v>597211.62</v>
      </c>
      <c r="S8" s="40"/>
      <c r="T8" s="41"/>
      <c r="U8" s="42" t="n">
        <f aca="false">SUM(Q8)</f>
        <v>289</v>
      </c>
      <c r="V8" s="90" t="n">
        <f aca="false">SUM(R8)</f>
        <v>597211.62</v>
      </c>
      <c r="W8" s="35" t="n">
        <f aca="false">SUM(M8,Q8)</f>
        <v>398</v>
      </c>
      <c r="X8" s="44" t="n">
        <f aca="false">SUM(N8,R8)</f>
        <v>676481.62</v>
      </c>
      <c r="Y8" s="96" t="s">
        <v>351</v>
      </c>
      <c r="Z8" s="40" t="n">
        <v>14</v>
      </c>
      <c r="AA8" s="40" t="s">
        <v>352</v>
      </c>
    </row>
    <row r="9" customFormat="false" ht="22.35" hidden="false" customHeight="false" outlineLevel="0" collapsed="false">
      <c r="A9" s="26" t="s">
        <v>353</v>
      </c>
      <c r="B9" s="26" t="s"/>
      <c r="C9" s="27" t="n">
        <v>40</v>
      </c>
      <c r="D9" s="28" t="n">
        <v>37460</v>
      </c>
      <c r="E9" s="29"/>
      <c r="F9" s="30"/>
      <c r="G9" s="83" t="s">
        <v>354</v>
      </c>
      <c r="H9" s="32" t="s">
        <v>355</v>
      </c>
      <c r="I9" s="84" t="n">
        <v>5</v>
      </c>
      <c r="J9" s="33" t="n">
        <v>3100</v>
      </c>
      <c r="K9" s="46"/>
      <c r="L9" s="34"/>
      <c r="M9" s="35" t="n">
        <f aca="false">SUM(C9,I9)</f>
        <v>45</v>
      </c>
      <c r="N9" s="36" t="n">
        <f aca="false">SUM(D9,J9)</f>
        <v>40560</v>
      </c>
      <c r="O9" s="38" t="s">
        <v>356</v>
      </c>
      <c r="P9" s="38" t="s">
        <v>357</v>
      </c>
      <c r="Q9" s="38" t="n">
        <v>314</v>
      </c>
      <c r="R9" s="39" t="n">
        <v>703324.85</v>
      </c>
      <c r="S9" s="40"/>
      <c r="T9" s="41"/>
      <c r="U9" s="42" t="n">
        <f aca="false">SUM(Q9)</f>
        <v>314</v>
      </c>
      <c r="V9" s="90" t="n">
        <f aca="false">SUM(R9)</f>
        <v>703324.85</v>
      </c>
      <c r="W9" s="35" t="n">
        <f aca="false">SUM(M9,Q9)</f>
        <v>359</v>
      </c>
      <c r="X9" s="44" t="n">
        <f aca="false">SUM(N9,R9)</f>
        <v>743884.85</v>
      </c>
      <c r="Y9" s="45"/>
      <c r="Z9" s="40" t="n">
        <v>22</v>
      </c>
      <c r="AA9" s="40" t="s">
        <v>358</v>
      </c>
    </row>
    <row r="10" customFormat="false" ht="22.35" hidden="false" customHeight="false" outlineLevel="0" collapsed="false">
      <c r="A10" s="26" t="s">
        <v>359</v>
      </c>
      <c r="B10" s="26" t="s"/>
      <c r="C10" s="27" t="n">
        <v>49</v>
      </c>
      <c r="D10" s="28" t="n">
        <v>70570</v>
      </c>
      <c r="E10" s="29"/>
      <c r="F10" s="30"/>
      <c r="G10" s="83" t="s">
        <v>360</v>
      </c>
      <c r="H10" s="32" t="s">
        <v>361</v>
      </c>
      <c r="I10" s="84" t="n">
        <v>11</v>
      </c>
      <c r="J10" s="33" t="n">
        <v>8720</v>
      </c>
      <c r="K10" s="46"/>
      <c r="L10" s="34"/>
      <c r="M10" s="35" t="n">
        <f aca="false">SUM(C10,I10)</f>
        <v>60</v>
      </c>
      <c r="N10" s="36" t="n">
        <f aca="false">SUM(D10,J10)</f>
        <v>79290</v>
      </c>
      <c r="O10" s="38" t="s">
        <v>362</v>
      </c>
      <c r="P10" s="38" t="s">
        <v>363</v>
      </c>
      <c r="Q10" s="38" t="n">
        <v>286</v>
      </c>
      <c r="R10" s="39" t="n">
        <v>527907.74</v>
      </c>
      <c r="S10" s="40"/>
      <c r="T10" s="41"/>
      <c r="U10" s="42" t="n">
        <f aca="false">SUM(Q10)</f>
        <v>286</v>
      </c>
      <c r="V10" s="90" t="n">
        <f aca="false">SUM(R10)</f>
        <v>527907.74</v>
      </c>
      <c r="W10" s="35" t="n">
        <f aca="false">SUM(M10,Q10)</f>
        <v>346</v>
      </c>
      <c r="X10" s="44" t="n">
        <f aca="false">SUM(N10,R10)</f>
        <v>607197.74</v>
      </c>
      <c r="Y10" s="45"/>
      <c r="Z10" s="40" t="n">
        <v>28</v>
      </c>
      <c r="AA10" s="40" t="s">
        <v>364</v>
      </c>
    </row>
    <row r="11" customFormat="false" ht="22.35" hidden="false" customHeight="false" outlineLevel="0" collapsed="false">
      <c r="A11" s="26" t="s">
        <v>365</v>
      </c>
      <c r="B11" s="26" t="s"/>
      <c r="C11" s="27" t="n">
        <v>62</v>
      </c>
      <c r="D11" s="28" t="n">
        <v>123080</v>
      </c>
      <c r="E11" s="29"/>
      <c r="F11" s="30"/>
      <c r="G11" s="83" t="s">
        <v>366</v>
      </c>
      <c r="H11" s="32" t="s">
        <v>367</v>
      </c>
      <c r="I11" s="84" t="n">
        <v>13</v>
      </c>
      <c r="J11" s="33" t="n">
        <v>6700</v>
      </c>
      <c r="K11" s="46" t="n">
        <v>1</v>
      </c>
      <c r="L11" s="97" t="s">
        <v>368</v>
      </c>
      <c r="M11" s="35" t="n">
        <f aca="false">SUM(C11,I11)</f>
        <v>75</v>
      </c>
      <c r="N11" s="36" t="n">
        <f aca="false">SUM(D11,J11)</f>
        <v>129780</v>
      </c>
      <c r="O11" s="38" t="s">
        <v>369</v>
      </c>
      <c r="P11" s="38" t="s">
        <v>370</v>
      </c>
      <c r="Q11" s="38" t="n">
        <v>362</v>
      </c>
      <c r="R11" s="39" t="n">
        <v>670026.13</v>
      </c>
      <c r="S11" s="40"/>
      <c r="T11" s="41"/>
      <c r="U11" s="42" t="n">
        <f aca="false">SUM(Q11)</f>
        <v>362</v>
      </c>
      <c r="V11" s="90" t="n">
        <f aca="false">SUM(R11)</f>
        <v>670026.13</v>
      </c>
      <c r="W11" s="35" t="n">
        <f aca="false">SUM(M11,Q11)</f>
        <v>437</v>
      </c>
      <c r="X11" s="44" t="n">
        <f aca="false">SUM(N11,R11)</f>
        <v>799806.13</v>
      </c>
      <c r="Y11" s="45"/>
      <c r="Z11" s="40" t="n">
        <v>36</v>
      </c>
      <c r="AA11" s="40" t="s">
        <v>371</v>
      </c>
    </row>
    <row r="12" customFormat="false" ht="22.35" hidden="false" customHeight="false" outlineLevel="0" collapsed="false">
      <c r="A12" s="26" t="s">
        <v>372</v>
      </c>
      <c r="B12" s="26" t="s"/>
      <c r="C12" s="27" t="n">
        <v>53</v>
      </c>
      <c r="D12" s="28" t="n">
        <v>58950</v>
      </c>
      <c r="E12" s="29"/>
      <c r="F12" s="30"/>
      <c r="G12" s="83" t="s">
        <v>373</v>
      </c>
      <c r="H12" s="32" t="s">
        <v>374</v>
      </c>
      <c r="I12" s="84" t="n">
        <v>10</v>
      </c>
      <c r="J12" s="33" t="n">
        <v>7900</v>
      </c>
      <c r="K12" s="46"/>
      <c r="L12" s="34"/>
      <c r="M12" s="35" t="n">
        <f aca="false">SUM(C12,I12)</f>
        <v>63</v>
      </c>
      <c r="N12" s="36" t="n">
        <f aca="false">SUM(D12,J12)</f>
        <v>66850</v>
      </c>
      <c r="O12" s="38" t="s">
        <v>375</v>
      </c>
      <c r="P12" s="38" t="s">
        <v>376</v>
      </c>
      <c r="Q12" s="38" t="n">
        <v>302</v>
      </c>
      <c r="R12" s="39" t="n">
        <v>558183.22</v>
      </c>
      <c r="S12" s="40"/>
      <c r="T12" s="41"/>
      <c r="U12" s="42" t="n">
        <f aca="false">SUM(Q12)</f>
        <v>302</v>
      </c>
      <c r="V12" s="90" t="n">
        <f aca="false">SUM(R12)</f>
        <v>558183.22</v>
      </c>
      <c r="W12" s="35" t="n">
        <f aca="false">SUM(M12,Q12)</f>
        <v>365</v>
      </c>
      <c r="X12" s="44" t="n">
        <f aca="false">SUM(N12,R12)</f>
        <v>625033.22</v>
      </c>
      <c r="Y12" s="45"/>
      <c r="Z12" s="40" t="n">
        <v>43</v>
      </c>
      <c r="AA12" s="40" t="s">
        <v>377</v>
      </c>
    </row>
    <row r="13" customFormat="false" ht="22.35" hidden="false" customHeight="false" outlineLevel="0" collapsed="false">
      <c r="A13" s="26" t="s">
        <v>378</v>
      </c>
      <c r="B13" s="26" t="s"/>
      <c r="C13" s="27" t="n">
        <v>55</v>
      </c>
      <c r="D13" s="28" t="n">
        <v>244710</v>
      </c>
      <c r="E13" s="29"/>
      <c r="F13" s="30"/>
      <c r="G13" s="83" t="s">
        <v>379</v>
      </c>
      <c r="H13" s="32" t="s">
        <v>380</v>
      </c>
      <c r="I13" s="84" t="n">
        <v>5</v>
      </c>
      <c r="J13" s="33" t="n">
        <v>4140</v>
      </c>
      <c r="K13" s="46"/>
      <c r="L13" s="34"/>
      <c r="M13" s="35" t="n">
        <f aca="false">SUM(C13,I13)</f>
        <v>60</v>
      </c>
      <c r="N13" s="36" t="n">
        <f aca="false">SUM(D13,J13)</f>
        <v>248850</v>
      </c>
      <c r="O13" s="38" t="s">
        <v>381</v>
      </c>
      <c r="P13" s="38" t="s">
        <v>382</v>
      </c>
      <c r="Q13" s="38" t="n">
        <v>254</v>
      </c>
      <c r="R13" s="39" t="n">
        <v>487700</v>
      </c>
      <c r="S13" s="40"/>
      <c r="T13" s="41"/>
      <c r="U13" s="42" t="n">
        <f aca="false">SUM(Q13)</f>
        <v>254</v>
      </c>
      <c r="V13" s="90" t="n">
        <f aca="false">SUM(R13)</f>
        <v>487700</v>
      </c>
      <c r="W13" s="35" t="n">
        <f aca="false">SUM(M13,Q13)</f>
        <v>314</v>
      </c>
      <c r="X13" s="44" t="n">
        <f aca="false">SUM(N13,R13)</f>
        <v>736550</v>
      </c>
      <c r="Y13" s="45"/>
      <c r="Z13" s="40" t="n">
        <v>51</v>
      </c>
      <c r="AA13" s="40" t="s">
        <v>383</v>
      </c>
    </row>
    <row r="14" customFormat="false" ht="22.35" hidden="false" customHeight="false" outlineLevel="0" collapsed="false">
      <c r="A14" s="26" t="s">
        <v>384</v>
      </c>
      <c r="B14" s="26" t="s"/>
      <c r="C14" s="27" t="n">
        <v>56</v>
      </c>
      <c r="D14" s="28" t="n">
        <v>1556290</v>
      </c>
      <c r="E14" s="29"/>
      <c r="F14" s="30"/>
      <c r="G14" s="83" t="s">
        <v>385</v>
      </c>
      <c r="H14" s="46" t="s">
        <v>38</v>
      </c>
      <c r="I14" s="84" t="n">
        <v>1</v>
      </c>
      <c r="J14" s="33" t="n">
        <v>500</v>
      </c>
      <c r="K14" s="46"/>
      <c r="L14" s="34"/>
      <c r="M14" s="35" t="n">
        <f aca="false">SUM(C14,I14)</f>
        <v>57</v>
      </c>
      <c r="N14" s="36" t="n">
        <f aca="false">SUM(D14,J14)</f>
        <v>1556790</v>
      </c>
      <c r="O14" s="38" t="s">
        <v>386</v>
      </c>
      <c r="P14" s="38" t="s">
        <v>387</v>
      </c>
      <c r="Q14" s="38" t="n">
        <v>249</v>
      </c>
      <c r="R14" s="39" t="n">
        <v>502668.26</v>
      </c>
      <c r="S14" s="40"/>
      <c r="T14" s="41"/>
      <c r="U14" s="42" t="n">
        <f aca="false">SUM(Q14)</f>
        <v>249</v>
      </c>
      <c r="V14" s="90" t="n">
        <f aca="false">SUM(R14)</f>
        <v>502668.26</v>
      </c>
      <c r="W14" s="35" t="n">
        <f aca="false">SUM(M14,Q14)</f>
        <v>306</v>
      </c>
      <c r="X14" s="44" t="n">
        <f aca="false">SUM(N14,R14)</f>
        <v>2059458.26</v>
      </c>
      <c r="Y14" s="45"/>
      <c r="Z14" s="40" t="n">
        <v>59</v>
      </c>
      <c r="AA14" s="40" t="s">
        <v>388</v>
      </c>
    </row>
    <row r="15" customFormat="false" ht="22.35" hidden="false" customHeight="false" outlineLevel="0" collapsed="false">
      <c r="A15" s="26" t="s">
        <v>389</v>
      </c>
      <c r="B15" s="26" t="s"/>
      <c r="C15" s="27" t="n">
        <v>42</v>
      </c>
      <c r="D15" s="28" t="n">
        <v>41050</v>
      </c>
      <c r="E15" s="29"/>
      <c r="F15" s="30"/>
      <c r="G15" s="83" t="s">
        <v>390</v>
      </c>
      <c r="H15" s="32" t="s">
        <v>391</v>
      </c>
      <c r="I15" s="84" t="n">
        <v>6</v>
      </c>
      <c r="J15" s="33" t="n">
        <v>2750</v>
      </c>
      <c r="K15" s="46"/>
      <c r="L15" s="34"/>
      <c r="M15" s="35" t="n">
        <f aca="false">SUM(C15,I15)</f>
        <v>48</v>
      </c>
      <c r="N15" s="36" t="n">
        <f aca="false">SUM(D15,J15)</f>
        <v>43800</v>
      </c>
      <c r="O15" s="38" t="s">
        <v>392</v>
      </c>
      <c r="P15" s="38" t="s">
        <v>393</v>
      </c>
      <c r="Q15" s="38" t="n">
        <v>217</v>
      </c>
      <c r="R15" s="39" t="n">
        <v>608976.87</v>
      </c>
      <c r="S15" s="40"/>
      <c r="T15" s="41"/>
      <c r="U15" s="42" t="n">
        <f aca="false">SUM(Q15)</f>
        <v>217</v>
      </c>
      <c r="V15" s="90" t="n">
        <f aca="false">SUM(R15)</f>
        <v>608976.87</v>
      </c>
      <c r="W15" s="35" t="n">
        <f aca="false">SUM(M15,Q15)</f>
        <v>265</v>
      </c>
      <c r="X15" s="44" t="n">
        <f aca="false">SUM(N15,R15)</f>
        <v>652776.87</v>
      </c>
      <c r="Y15" s="45"/>
      <c r="Z15" s="40" t="n">
        <v>65</v>
      </c>
      <c r="AA15" s="40" t="s">
        <v>394</v>
      </c>
    </row>
    <row r="16" customFormat="false" ht="22.35" hidden="false" customHeight="false" outlineLevel="0" collapsed="false">
      <c r="A16" s="26" t="s">
        <v>395</v>
      </c>
      <c r="B16" s="26" t="s"/>
      <c r="C16" s="27" t="n">
        <v>46</v>
      </c>
      <c r="D16" s="28" t="n">
        <v>54920</v>
      </c>
      <c r="E16" s="29"/>
      <c r="F16" s="30"/>
      <c r="G16" s="83" t="s">
        <v>396</v>
      </c>
      <c r="H16" s="98" t="s">
        <v>397</v>
      </c>
      <c r="I16" s="84" t="n">
        <v>3</v>
      </c>
      <c r="J16" s="33" t="n">
        <v>2500</v>
      </c>
      <c r="K16" s="46"/>
      <c r="L16" s="34"/>
      <c r="M16" s="35" t="n">
        <f aca="false">SUM(C16,I16)</f>
        <v>49</v>
      </c>
      <c r="N16" s="36" t="n">
        <f aca="false">SUM(D16,J16)</f>
        <v>57420</v>
      </c>
      <c r="O16" s="38" t="s">
        <v>398</v>
      </c>
      <c r="P16" s="38" t="s">
        <v>399</v>
      </c>
      <c r="Q16" s="38" t="n">
        <v>359</v>
      </c>
      <c r="R16" s="39" t="n">
        <v>918368.95</v>
      </c>
      <c r="S16" s="40"/>
      <c r="T16" s="41"/>
      <c r="U16" s="42" t="n">
        <f aca="false">SUM(Q16)</f>
        <v>359</v>
      </c>
      <c r="V16" s="90" t="n">
        <f aca="false">SUM(R16)</f>
        <v>918368.95</v>
      </c>
      <c r="W16" s="35" t="n">
        <f aca="false">SUM(M16,Q16)</f>
        <v>408</v>
      </c>
      <c r="X16" s="44" t="n">
        <f aca="false">SUM(N16,R16)</f>
        <v>975788.95</v>
      </c>
      <c r="Y16" s="45"/>
      <c r="Z16" s="40" t="n">
        <v>74</v>
      </c>
      <c r="AA16" s="40" t="s">
        <v>400</v>
      </c>
    </row>
    <row r="17" customFormat="false" ht="22.35" hidden="false" customHeight="false" outlineLevel="0" collapsed="false">
      <c r="A17" s="26" t="s">
        <v>401</v>
      </c>
      <c r="B17" s="26" t="s"/>
      <c r="C17" s="27" t="n">
        <v>41</v>
      </c>
      <c r="D17" s="28" t="n">
        <v>78960</v>
      </c>
      <c r="E17" s="29"/>
      <c r="F17" s="30"/>
      <c r="G17" s="83" t="s">
        <v>402</v>
      </c>
      <c r="H17" s="32" t="s">
        <v>403</v>
      </c>
      <c r="I17" s="84" t="n">
        <v>9</v>
      </c>
      <c r="J17" s="33" t="n">
        <v>8000</v>
      </c>
      <c r="K17" s="46"/>
      <c r="L17" s="34"/>
      <c r="M17" s="35" t="n">
        <f aca="false">SUM(C17,I17)</f>
        <v>50</v>
      </c>
      <c r="N17" s="36" t="n">
        <f aca="false">SUM(D17,J17)</f>
        <v>86960</v>
      </c>
      <c r="O17" s="38" t="s">
        <v>404</v>
      </c>
      <c r="P17" s="38" t="s">
        <v>405</v>
      </c>
      <c r="Q17" s="38" t="n">
        <v>204</v>
      </c>
      <c r="R17" s="39" t="n">
        <v>365900</v>
      </c>
      <c r="S17" s="40"/>
      <c r="T17" s="41"/>
      <c r="U17" s="42" t="n">
        <f aca="false">SUM(Q17)</f>
        <v>204</v>
      </c>
      <c r="V17" s="90" t="n">
        <f aca="false">SUM(R17)</f>
        <v>365900</v>
      </c>
      <c r="W17" s="35" t="n">
        <f aca="false">SUM(M17,Q17)</f>
        <v>254</v>
      </c>
      <c r="X17" s="44" t="n">
        <f aca="false">SUM(N17,R17)</f>
        <v>452860</v>
      </c>
      <c r="Y17" s="45"/>
      <c r="Z17" s="40" t="n">
        <v>80</v>
      </c>
      <c r="AA17" s="40" t="s">
        <v>406</v>
      </c>
    </row>
    <row r="18" customFormat="false" ht="22.35" hidden="false" customHeight="false" outlineLevel="0" collapsed="false">
      <c r="A18" s="26" t="s">
        <v>407</v>
      </c>
      <c r="B18" s="26" t="s"/>
      <c r="C18" s="27" t="n">
        <v>24</v>
      </c>
      <c r="D18" s="28" t="n">
        <v>23750</v>
      </c>
      <c r="E18" s="29"/>
      <c r="F18" s="30"/>
      <c r="G18" s="32" t="s">
        <v>408</v>
      </c>
      <c r="H18" s="99" t="s">
        <v>409</v>
      </c>
      <c r="I18" s="84" t="n">
        <v>7</v>
      </c>
      <c r="J18" s="33" t="n">
        <v>3620</v>
      </c>
      <c r="K18" s="46"/>
      <c r="L18" s="34"/>
      <c r="M18" s="35" t="n">
        <f aca="false">SUM(C18,I18)</f>
        <v>31</v>
      </c>
      <c r="N18" s="36" t="n">
        <f aca="false">SUM(D18,J18)</f>
        <v>27370</v>
      </c>
      <c r="O18" s="38" t="s">
        <v>410</v>
      </c>
      <c r="P18" s="38" t="s">
        <v>411</v>
      </c>
      <c r="Q18" s="38" t="n">
        <v>189</v>
      </c>
      <c r="R18" s="39" t="n">
        <v>415016.12</v>
      </c>
      <c r="S18" s="40"/>
      <c r="T18" s="41"/>
      <c r="U18" s="42" t="n">
        <f aca="false">SUM(Q18)</f>
        <v>189</v>
      </c>
      <c r="V18" s="90" t="n">
        <f aca="false">SUM(R18)</f>
        <v>415016.12</v>
      </c>
      <c r="W18" s="35" t="n">
        <f aca="false">SUM(M18,Q18)</f>
        <v>220</v>
      </c>
      <c r="X18" s="44" t="n">
        <f aca="false">SUM(N18,R18)</f>
        <v>442386.12</v>
      </c>
      <c r="Y18" s="47"/>
      <c r="Z18" s="40" t="n">
        <v>86</v>
      </c>
      <c r="AA18" s="40" t="s">
        <v>412</v>
      </c>
    </row>
    <row r="19" customFormat="false" ht="22.35" hidden="false" customHeight="false" outlineLevel="0" collapsed="false">
      <c r="A19" s="26" t="s">
        <v>413</v>
      </c>
      <c r="B19" s="26" t="s"/>
      <c r="C19" s="27" t="n">
        <v>25</v>
      </c>
      <c r="D19" s="28" t="n">
        <v>23100</v>
      </c>
      <c r="E19" s="29"/>
      <c r="F19" s="30"/>
      <c r="G19" s="83" t="s">
        <v>414</v>
      </c>
      <c r="H19" s="32" t="s">
        <v>415</v>
      </c>
      <c r="I19" s="84" t="n">
        <v>8</v>
      </c>
      <c r="J19" s="33" t="n">
        <v>6450</v>
      </c>
      <c r="K19" s="46"/>
      <c r="L19" s="34"/>
      <c r="M19" s="35" t="n">
        <f aca="false">SUM(C19,I19)</f>
        <v>33</v>
      </c>
      <c r="N19" s="36" t="n">
        <f aca="false">SUM(D19,J19)</f>
        <v>29550</v>
      </c>
      <c r="O19" s="38" t="s">
        <v>416</v>
      </c>
      <c r="P19" s="38" t="s">
        <v>417</v>
      </c>
      <c r="Q19" s="38" t="n">
        <v>208</v>
      </c>
      <c r="R19" s="39" t="n">
        <v>662640.64</v>
      </c>
      <c r="S19" s="40"/>
      <c r="T19" s="41"/>
      <c r="U19" s="42" t="n">
        <f aca="false">SUM(Q19)</f>
        <v>208</v>
      </c>
      <c r="V19" s="90" t="n">
        <f aca="false">SUM(R19)</f>
        <v>662640.64</v>
      </c>
      <c r="W19" s="35" t="n">
        <f aca="false">SUM(M19,Q19)</f>
        <v>241</v>
      </c>
      <c r="X19" s="44" t="n">
        <f aca="false">SUM(N19,R19)</f>
        <v>692190.64</v>
      </c>
      <c r="Y19" s="47"/>
      <c r="Z19" s="40" t="n">
        <v>97</v>
      </c>
      <c r="AA19" s="40" t="s">
        <v>418</v>
      </c>
    </row>
    <row r="20" customFormat="false" ht="22.35" hidden="false" customHeight="false" outlineLevel="0" collapsed="false">
      <c r="A20" s="26" t="s">
        <v>419</v>
      </c>
      <c r="B20" s="26" t="s"/>
      <c r="C20" s="27" t="n">
        <v>25</v>
      </c>
      <c r="D20" s="28" t="n">
        <v>38350</v>
      </c>
      <c r="E20" s="29"/>
      <c r="F20" s="30"/>
      <c r="G20" s="83" t="s">
        <v>420</v>
      </c>
      <c r="H20" s="32" t="s">
        <v>421</v>
      </c>
      <c r="I20" s="84" t="n">
        <v>12</v>
      </c>
      <c r="J20" s="33" t="n">
        <v>5700</v>
      </c>
      <c r="K20" s="46"/>
      <c r="L20" s="34"/>
      <c r="M20" s="35" t="n">
        <f aca="false">SUM(C20,I20)</f>
        <v>37</v>
      </c>
      <c r="N20" s="36" t="n">
        <f aca="false">SUM(D20,J20)</f>
        <v>44050</v>
      </c>
      <c r="O20" s="38" t="s">
        <v>422</v>
      </c>
      <c r="P20" s="38" t="s">
        <v>423</v>
      </c>
      <c r="Q20" s="38" t="n">
        <v>160</v>
      </c>
      <c r="R20" s="39" t="n">
        <v>294306.45</v>
      </c>
      <c r="S20" s="40"/>
      <c r="T20" s="41"/>
      <c r="U20" s="42" t="n">
        <f aca="false">SUM(Q20)</f>
        <v>160</v>
      </c>
      <c r="V20" s="90" t="n">
        <f aca="false">SUM(R20)</f>
        <v>294306.45</v>
      </c>
      <c r="W20" s="35" t="n">
        <f aca="false">SUM(M20,Q20)</f>
        <v>197</v>
      </c>
      <c r="X20" s="44" t="n">
        <f aca="false">SUM(N20,R20)</f>
        <v>338356.45</v>
      </c>
      <c r="Y20" s="45"/>
      <c r="Z20" s="40" t="n">
        <v>105</v>
      </c>
      <c r="AA20" s="40" t="s">
        <v>424</v>
      </c>
    </row>
    <row r="21" customFormat="false" ht="22.35" hidden="false" customHeight="false" outlineLevel="0" collapsed="false">
      <c r="A21" s="26" t="s">
        <v>425</v>
      </c>
      <c r="B21" s="26" t="s"/>
      <c r="C21" s="27" t="n">
        <v>38</v>
      </c>
      <c r="D21" s="28" t="n">
        <v>44930</v>
      </c>
      <c r="E21" s="29"/>
      <c r="F21" s="30"/>
      <c r="G21" s="83" t="s">
        <v>426</v>
      </c>
      <c r="H21" s="32" t="s">
        <v>427</v>
      </c>
      <c r="I21" s="84" t="n">
        <v>3</v>
      </c>
      <c r="J21" s="33" t="n">
        <v>1420</v>
      </c>
      <c r="K21" s="46"/>
      <c r="L21" s="34"/>
      <c r="M21" s="35" t="n">
        <f aca="false">SUM(C21,I21)</f>
        <v>41</v>
      </c>
      <c r="N21" s="36" t="n">
        <f aca="false">SUM(D21,J21)</f>
        <v>46350</v>
      </c>
      <c r="O21" s="38" t="s">
        <v>428</v>
      </c>
      <c r="P21" s="38" t="s">
        <v>429</v>
      </c>
      <c r="Q21" s="38" t="n">
        <v>224</v>
      </c>
      <c r="R21" s="39" t="n">
        <v>498439.75</v>
      </c>
      <c r="S21" s="40"/>
      <c r="T21" s="41"/>
      <c r="U21" s="42" t="n">
        <f aca="false">SUM(Q21)</f>
        <v>224</v>
      </c>
      <c r="V21" s="90" t="n">
        <f aca="false">SUM(R21)</f>
        <v>498439.75</v>
      </c>
      <c r="W21" s="35" t="n">
        <f aca="false">SUM(M21,Q21)</f>
        <v>265</v>
      </c>
      <c r="X21" s="44" t="n">
        <f aca="false">SUM(N21,R21)</f>
        <v>544789.75</v>
      </c>
      <c r="Y21" s="45"/>
      <c r="Z21" s="40" t="n">
        <v>112</v>
      </c>
      <c r="AA21" s="40" t="s">
        <v>430</v>
      </c>
    </row>
    <row r="22" customFormat="false" ht="22.35" hidden="false" customHeight="false" outlineLevel="0" collapsed="false">
      <c r="A22" s="26" t="s">
        <v>431</v>
      </c>
      <c r="B22" s="26" t="s"/>
      <c r="C22" s="27" t="n">
        <v>26</v>
      </c>
      <c r="D22" s="28" t="n">
        <v>21650</v>
      </c>
      <c r="E22" s="29"/>
      <c r="F22" s="30"/>
      <c r="G22" s="83" t="s">
        <v>432</v>
      </c>
      <c r="H22" s="32" t="s">
        <v>433</v>
      </c>
      <c r="I22" s="84" t="n">
        <v>9</v>
      </c>
      <c r="J22" s="33" t="n">
        <v>4350</v>
      </c>
      <c r="K22" s="46"/>
      <c r="L22" s="34"/>
      <c r="M22" s="35" t="n">
        <f aca="false">SUM(C22,I22)</f>
        <v>35</v>
      </c>
      <c r="N22" s="36" t="n">
        <f aca="false">SUM(D22,J22)</f>
        <v>26000</v>
      </c>
      <c r="O22" s="38" t="s">
        <v>434</v>
      </c>
      <c r="P22" s="38" t="s">
        <v>435</v>
      </c>
      <c r="Q22" s="38" t="n">
        <v>199</v>
      </c>
      <c r="R22" s="39" t="n">
        <v>418810.32</v>
      </c>
      <c r="S22" s="40"/>
      <c r="T22" s="41"/>
      <c r="U22" s="42" t="n">
        <f aca="false">SUM(Q22)</f>
        <v>199</v>
      </c>
      <c r="V22" s="90" t="n">
        <f aca="false">SUM(R22)</f>
        <v>418810.32</v>
      </c>
      <c r="W22" s="35" t="n">
        <f aca="false">SUM(M22,Q22)</f>
        <v>234</v>
      </c>
      <c r="X22" s="44" t="n">
        <f aca="false">SUM(N22,R22)</f>
        <v>444810.32</v>
      </c>
      <c r="Y22" s="45"/>
      <c r="Z22" s="40" t="n">
        <v>120</v>
      </c>
      <c r="AA22" s="40" t="s">
        <v>436</v>
      </c>
    </row>
    <row r="23" customFormat="false" ht="22.35" hidden="false" customHeight="false" outlineLevel="0" collapsed="false">
      <c r="A23" s="26" t="s">
        <v>437</v>
      </c>
      <c r="B23" s="26" t="s"/>
      <c r="C23" s="27" t="n">
        <v>39</v>
      </c>
      <c r="D23" s="28" t="n">
        <v>56690</v>
      </c>
      <c r="E23" s="29"/>
      <c r="F23" s="30"/>
      <c r="G23" s="83" t="s">
        <v>438</v>
      </c>
      <c r="H23" s="32" t="s">
        <v>439</v>
      </c>
      <c r="I23" s="84" t="n">
        <v>11</v>
      </c>
      <c r="J23" s="33" t="n">
        <v>9100</v>
      </c>
      <c r="K23" s="46"/>
      <c r="L23" s="34"/>
      <c r="M23" s="35" t="n">
        <f aca="false">SUM(C23,I23)</f>
        <v>50</v>
      </c>
      <c r="N23" s="36" t="n">
        <f aca="false">SUM(D23,J23)</f>
        <v>65790</v>
      </c>
      <c r="O23" s="37" t="s">
        <v>440</v>
      </c>
      <c r="P23" s="38" t="s">
        <v>441</v>
      </c>
      <c r="Q23" s="38" t="n">
        <v>206</v>
      </c>
      <c r="R23" s="39" t="n">
        <v>386626.13</v>
      </c>
      <c r="S23" s="40"/>
      <c r="T23" s="41"/>
      <c r="U23" s="42" t="n">
        <f aca="false">SUM(Q23)</f>
        <v>206</v>
      </c>
      <c r="V23" s="90" t="n">
        <f aca="false">SUM(R23)</f>
        <v>386626.13</v>
      </c>
      <c r="W23" s="35" t="n">
        <f aca="false">SUM(M23,Q23)</f>
        <v>256</v>
      </c>
      <c r="X23" s="44" t="n">
        <f aca="false">SUM(N23,R23)</f>
        <v>452416.13</v>
      </c>
      <c r="Y23" s="45"/>
      <c r="Z23" s="40" t="n">
        <v>127</v>
      </c>
      <c r="AA23" s="40" t="s">
        <v>442</v>
      </c>
    </row>
    <row r="24" customFormat="false" ht="43.25" hidden="false" customHeight="false" outlineLevel="0" collapsed="false">
      <c r="A24" s="26" t="s">
        <v>443</v>
      </c>
      <c r="B24" s="26" t="s"/>
      <c r="C24" s="49" t="n">
        <v>15</v>
      </c>
      <c r="D24" s="50" t="n">
        <v>16770</v>
      </c>
      <c r="E24" s="51"/>
      <c r="F24" s="52"/>
      <c r="G24" s="87" t="s">
        <v>444</v>
      </c>
      <c r="H24" s="91" t="s">
        <v>445</v>
      </c>
      <c r="I24" s="54" t="n">
        <v>8</v>
      </c>
      <c r="J24" s="56" t="n">
        <v>6050</v>
      </c>
      <c r="K24" s="55"/>
      <c r="L24" s="57"/>
      <c r="M24" s="35" t="n">
        <f aca="false">SUM(C24,I24)</f>
        <v>23</v>
      </c>
      <c r="N24" s="36" t="n">
        <f aca="false">SUM(D24,J24)</f>
        <v>22820</v>
      </c>
      <c r="O24" s="88" t="s">
        <v>446</v>
      </c>
      <c r="P24" s="89" t="s">
        <v>447</v>
      </c>
      <c r="Q24" s="60" t="n">
        <v>163</v>
      </c>
      <c r="R24" s="61" t="n">
        <v>352654.2</v>
      </c>
      <c r="S24" s="62"/>
      <c r="T24" s="63"/>
      <c r="U24" s="42"/>
      <c r="V24" s="42"/>
      <c r="W24" s="35" t="n">
        <f aca="false">SUM(M24,Q24)</f>
        <v>186</v>
      </c>
      <c r="X24" s="44" t="n">
        <f aca="false">SUM(N24,R24)</f>
        <v>375474.2</v>
      </c>
      <c r="Y24" s="92"/>
      <c r="Z24" s="40" t="n">
        <v>134</v>
      </c>
      <c r="AA24" s="40" t="s">
        <v>448</v>
      </c>
    </row>
    <row r="25" customFormat="false" ht="43.25" hidden="false" customHeight="false" outlineLevel="0" collapsed="false">
      <c r="A25" s="26" t="s">
        <v>449</v>
      </c>
      <c r="B25" s="26" t="s"/>
      <c r="C25" s="49" t="n">
        <v>17</v>
      </c>
      <c r="D25" s="50" t="n">
        <v>21250</v>
      </c>
      <c r="E25" s="51"/>
      <c r="F25" s="52"/>
      <c r="G25" s="87" t="s">
        <v>450</v>
      </c>
      <c r="H25" s="91" t="s">
        <v>451</v>
      </c>
      <c r="I25" s="54" t="n">
        <v>10</v>
      </c>
      <c r="J25" s="56" t="n">
        <v>3000</v>
      </c>
      <c r="K25" s="55"/>
      <c r="L25" s="57"/>
      <c r="M25" s="35" t="n">
        <f aca="false">SUM(C25,I25)</f>
        <v>27</v>
      </c>
      <c r="N25" s="36" t="n">
        <f aca="false">SUM(D25,J25)</f>
        <v>24250</v>
      </c>
      <c r="O25" s="88" t="s">
        <v>452</v>
      </c>
      <c r="P25" s="89" t="s">
        <v>453</v>
      </c>
      <c r="Q25" s="60" t="n">
        <v>144</v>
      </c>
      <c r="R25" s="61" t="n">
        <v>341628.06</v>
      </c>
      <c r="S25" s="62"/>
      <c r="T25" s="63"/>
      <c r="U25" s="42"/>
      <c r="V25" s="42"/>
      <c r="W25" s="35" t="n">
        <f aca="false">SUM(M25,Q25)</f>
        <v>171</v>
      </c>
      <c r="X25" s="44" t="n">
        <f aca="false">SUM(N25,R25)</f>
        <v>365878.06</v>
      </c>
      <c r="Y25" s="92"/>
      <c r="Z25" s="40" t="n">
        <v>142</v>
      </c>
      <c r="AA25" s="40" t="s">
        <v>454</v>
      </c>
    </row>
    <row r="26" customFormat="false" ht="19.7" hidden="false" customHeight="false" outlineLevel="0" collapsed="false">
      <c r="A26" s="66" t="s">
        <v>122</v>
      </c>
      <c r="B26" s="66" t="s"/>
      <c r="C26" s="67" t="n">
        <f aca="false">SUM(C6:C25)</f>
        <v>1171</v>
      </c>
      <c r="D26" s="68" t="n">
        <f aca="false">SUM(D6:D25)</f>
        <v>2977680</v>
      </c>
      <c r="E26" s="69" t="n">
        <f aca="false">SUM(E6:E23)</f>
        <v>0</v>
      </c>
      <c r="F26" s="70" t="n">
        <f aca="false">SUM(F6:F23)</f>
        <v>0</v>
      </c>
      <c r="G26" s="71" t="s">
        <v>122</v>
      </c>
      <c r="H26" s="71"/>
      <c r="I26" s="72" t="n">
        <f aca="false">SUM(I6:I25)</f>
        <v>207</v>
      </c>
      <c r="J26" s="68" t="n">
        <f aca="false">SUM(J6:J25)</f>
        <v>143090</v>
      </c>
      <c r="K26" s="69" t="n">
        <f aca="false">SUM(K6:K23)</f>
        <v>1</v>
      </c>
      <c r="L26" s="70"/>
      <c r="M26" s="73" t="n">
        <f aca="false">SUM(M6:M23)</f>
        <v>1328</v>
      </c>
      <c r="N26" s="74" t="n">
        <f aca="false">SUM(N6:N23)</f>
        <v>3073700</v>
      </c>
      <c r="O26" s="71" t="s">
        <v>122</v>
      </c>
      <c r="P26" s="71"/>
      <c r="Q26" s="75" t="n">
        <f aca="false">SUM(Q6:Q25)</f>
        <v>5065</v>
      </c>
      <c r="R26" s="76" t="n">
        <f aca="false">SUM(R6:R25)</f>
        <v>10615727.69</v>
      </c>
      <c r="S26" s="69" t="n">
        <f aca="false">SUM(S6:S23)</f>
        <v>0</v>
      </c>
      <c r="T26" s="70" t="n">
        <f aca="false">SUM(T6:T23)</f>
        <v>0</v>
      </c>
      <c r="U26" s="93" t="n">
        <f aca="false">SUM(U6:U23)</f>
        <v>4758</v>
      </c>
      <c r="V26" s="94" t="n">
        <f aca="false">SUM(V6:V23)</f>
        <v>9921445.43</v>
      </c>
      <c r="W26" s="73" t="n">
        <f aca="false">SUM(W6:W25)</f>
        <v>6443</v>
      </c>
      <c r="X26" s="79" t="n">
        <f aca="false">SUM(X6:X25)</f>
        <v>13736497.69</v>
      </c>
      <c r="Y26" s="80"/>
      <c r="Z26" s="81"/>
      <c r="AA26" s="81"/>
    </row>
    <row r="27" customFormat="false" ht="15.75" hidden="false" customHeight="false" outlineLevel="0" collapsed="false">
      <c r="A27" s="2"/>
      <c r="B27" s="2"/>
      <c r="C27" s="2"/>
      <c r="D27" s="82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5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5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5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5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5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5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mergeCells count="32">
    <mergeCell ref="A1:AA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A3:AA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G26:H26"/>
    <mergeCell ref="O26:P2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outlinePr summaryBelow="0"/>
    <pageSetUpPr fitToPage="true"/>
  </sheetPr>
  <dimension ref="A1:AA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455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3" t="s">
        <v>11</v>
      </c>
      <c r="D4" s="14" t="s">
        <v>12</v>
      </c>
      <c r="E4" s="15" t="s">
        <v>13</v>
      </c>
      <c r="F4" s="15"/>
      <c r="G4" s="16" t="s">
        <v>14</v>
      </c>
      <c r="H4" s="17" t="s">
        <v>15</v>
      </c>
      <c r="I4" s="18" t="s">
        <v>11</v>
      </c>
      <c r="J4" s="18" t="s">
        <v>12</v>
      </c>
      <c r="K4" s="19" t="s">
        <v>16</v>
      </c>
      <c r="L4" s="19"/>
      <c r="M4" s="20" t="s">
        <v>17</v>
      </c>
      <c r="N4" s="21" t="s">
        <v>18</v>
      </c>
      <c r="O4" s="22" t="s">
        <v>14</v>
      </c>
      <c r="P4" s="23" t="s">
        <v>15</v>
      </c>
      <c r="Q4" s="23" t="s">
        <v>11</v>
      </c>
      <c r="R4" s="23" t="s">
        <v>12</v>
      </c>
      <c r="S4" s="24" t="s">
        <v>13</v>
      </c>
      <c r="T4" s="24"/>
      <c r="U4" s="9" t="s">
        <v>17</v>
      </c>
      <c r="V4" s="25" t="s">
        <v>18</v>
      </c>
      <c r="W4" s="20" t="s">
        <v>17</v>
      </c>
      <c r="X4" s="21" t="s">
        <v>18</v>
      </c>
      <c r="Y4" s="10"/>
      <c r="Z4" s="11"/>
      <c r="AA4" s="11"/>
    </row>
    <row r="5" customFormat="false" ht="19.7" hidden="false" customHeight="false" outlineLevel="0" collapsed="false">
      <c r="A5" s="4"/>
      <c r="B5" s="4"/>
      <c r="C5" s="13"/>
      <c r="D5" s="14"/>
      <c r="E5" s="14" t="s">
        <v>19</v>
      </c>
      <c r="F5" s="15" t="s">
        <v>20</v>
      </c>
      <c r="G5" s="16"/>
      <c r="H5" s="17"/>
      <c r="I5" s="17"/>
      <c r="J5" s="17"/>
      <c r="K5" s="17" t="s">
        <v>19</v>
      </c>
      <c r="L5" s="19" t="s">
        <v>20</v>
      </c>
      <c r="M5" s="20"/>
      <c r="N5" s="21"/>
      <c r="O5" s="22"/>
      <c r="P5" s="23"/>
      <c r="Q5" s="23"/>
      <c r="R5" s="23"/>
      <c r="S5" s="23" t="s">
        <v>11</v>
      </c>
      <c r="T5" s="24" t="s">
        <v>20</v>
      </c>
      <c r="U5" s="9"/>
      <c r="V5" s="25"/>
      <c r="W5" s="20"/>
      <c r="X5" s="21"/>
      <c r="Y5" s="10"/>
      <c r="Z5" s="11"/>
      <c r="AA5" s="11"/>
    </row>
    <row r="6" customFormat="false" ht="22.35" hidden="false" customHeight="false" outlineLevel="0" collapsed="false">
      <c r="A6" s="100" t="s">
        <v>456</v>
      </c>
      <c r="B6" s="100" t="s"/>
      <c r="C6" s="27" t="n">
        <v>36</v>
      </c>
      <c r="D6" s="28" t="n">
        <v>49750</v>
      </c>
      <c r="E6" s="29"/>
      <c r="F6" s="30"/>
      <c r="G6" s="83" t="s">
        <v>457</v>
      </c>
      <c r="H6" s="32" t="s">
        <v>458</v>
      </c>
      <c r="I6" s="84" t="n">
        <v>11</v>
      </c>
      <c r="J6" s="33" t="n">
        <v>6450</v>
      </c>
      <c r="K6" s="46"/>
      <c r="L6" s="34"/>
      <c r="M6" s="35" t="n">
        <f aca="false">SUM(C6,I6)</f>
        <v>47</v>
      </c>
      <c r="N6" s="36" t="n">
        <f aca="false">SUM(D6,J6)</f>
        <v>56200</v>
      </c>
      <c r="O6" s="38" t="s">
        <v>459</v>
      </c>
      <c r="P6" s="38" t="s">
        <v>460</v>
      </c>
      <c r="Q6" s="38" t="n">
        <v>267</v>
      </c>
      <c r="R6" s="39" t="n">
        <v>739000</v>
      </c>
      <c r="S6" s="40"/>
      <c r="T6" s="41"/>
      <c r="U6" s="42" t="n">
        <f aca="false">SUM(Q6)</f>
        <v>267</v>
      </c>
      <c r="V6" s="90" t="n">
        <f aca="false">SUM(R6)</f>
        <v>739000</v>
      </c>
      <c r="W6" s="35" t="n">
        <f aca="false">SUM(M6,Q6)</f>
        <v>314</v>
      </c>
      <c r="X6" s="44" t="n">
        <f aca="false">SUM(N6,R6)</f>
        <v>795200</v>
      </c>
      <c r="Y6" s="45"/>
      <c r="Z6" s="40" t="n">
        <v>154</v>
      </c>
      <c r="AA6" s="40" t="s">
        <v>461</v>
      </c>
    </row>
    <row r="7" customFormat="false" ht="22.35" hidden="false" customHeight="false" outlineLevel="0" collapsed="false">
      <c r="A7" s="100" t="s">
        <v>462</v>
      </c>
      <c r="B7" s="100" t="s"/>
      <c r="C7" s="27" t="n">
        <v>19</v>
      </c>
      <c r="D7" s="28" t="n">
        <v>25830</v>
      </c>
      <c r="E7" s="29"/>
      <c r="F7" s="30"/>
      <c r="G7" s="83" t="s">
        <v>463</v>
      </c>
      <c r="H7" s="32" t="s">
        <v>464</v>
      </c>
      <c r="I7" s="84" t="n">
        <v>5</v>
      </c>
      <c r="J7" s="33" t="n">
        <v>2100</v>
      </c>
      <c r="K7" s="46"/>
      <c r="L7" s="34"/>
      <c r="M7" s="35" t="n">
        <f aca="false">SUM(C7,I7)</f>
        <v>24</v>
      </c>
      <c r="N7" s="36" t="n">
        <f aca="false">SUM(D7,J7)</f>
        <v>27930</v>
      </c>
      <c r="O7" s="38" t="s">
        <v>465</v>
      </c>
      <c r="P7" s="38" t="s">
        <v>466</v>
      </c>
      <c r="Q7" s="38" t="n">
        <v>142</v>
      </c>
      <c r="R7" s="39" t="n">
        <v>251299.93</v>
      </c>
      <c r="S7" s="40"/>
      <c r="T7" s="41"/>
      <c r="U7" s="42" t="n">
        <f aca="false">SUM(Q7)</f>
        <v>142</v>
      </c>
      <c r="V7" s="90" t="n">
        <f aca="false">SUM(R7)</f>
        <v>251299.93</v>
      </c>
      <c r="W7" s="35" t="n">
        <f aca="false">SUM(M7,Q7)</f>
        <v>166</v>
      </c>
      <c r="X7" s="44" t="n">
        <f aca="false">SUM(N7,R7)</f>
        <v>279229.93</v>
      </c>
      <c r="Y7" s="45"/>
      <c r="Z7" s="40" t="n">
        <v>162</v>
      </c>
      <c r="AA7" s="40" t="s">
        <v>467</v>
      </c>
    </row>
    <row r="8" customFormat="false" ht="22.35" hidden="false" customHeight="false" outlineLevel="0" collapsed="false">
      <c r="A8" s="100" t="s">
        <v>468</v>
      </c>
      <c r="B8" s="100" t="s"/>
      <c r="C8" s="27" t="n">
        <v>9</v>
      </c>
      <c r="D8" s="28" t="n">
        <v>20860</v>
      </c>
      <c r="E8" s="29"/>
      <c r="F8" s="30"/>
      <c r="G8" s="83" t="s">
        <v>469</v>
      </c>
      <c r="H8" s="32" t="s">
        <v>470</v>
      </c>
      <c r="I8" s="84" t="n">
        <v>5</v>
      </c>
      <c r="J8" s="33" t="n">
        <v>2100</v>
      </c>
      <c r="K8" s="46"/>
      <c r="L8" s="34"/>
      <c r="M8" s="35" t="n">
        <f aca="false">SUM(C8,I8)</f>
        <v>14</v>
      </c>
      <c r="N8" s="36" t="n">
        <f aca="false">SUM(D8,J8)</f>
        <v>22960</v>
      </c>
      <c r="O8" s="38" t="s">
        <v>471</v>
      </c>
      <c r="P8" s="38" t="s">
        <v>472</v>
      </c>
      <c r="Q8" s="38" t="n">
        <v>201</v>
      </c>
      <c r="R8" s="39" t="n">
        <v>404179.64</v>
      </c>
      <c r="S8" s="40"/>
      <c r="T8" s="41"/>
      <c r="U8" s="42" t="n">
        <f aca="false">SUM(Q8)</f>
        <v>201</v>
      </c>
      <c r="V8" s="90" t="n">
        <f aca="false">SUM(R8)</f>
        <v>404179.64</v>
      </c>
      <c r="W8" s="35" t="n">
        <f aca="false">SUM(M8,Q8)</f>
        <v>215</v>
      </c>
      <c r="X8" s="44" t="n">
        <f aca="false">SUM(N8,R8)</f>
        <v>427139.64</v>
      </c>
      <c r="Y8" s="96"/>
      <c r="Z8" s="40" t="n">
        <v>167</v>
      </c>
      <c r="AA8" s="40" t="s">
        <v>473</v>
      </c>
    </row>
    <row r="9" customFormat="false" ht="22.35" hidden="false" customHeight="false" outlineLevel="0" collapsed="false">
      <c r="A9" s="100" t="s">
        <v>474</v>
      </c>
      <c r="B9" s="100" t="s"/>
      <c r="C9" s="27" t="n">
        <v>33</v>
      </c>
      <c r="D9" s="28" t="n">
        <v>53850</v>
      </c>
      <c r="E9" s="29"/>
      <c r="F9" s="30"/>
      <c r="G9" s="83" t="s">
        <v>475</v>
      </c>
      <c r="H9" s="32" t="s">
        <v>476</v>
      </c>
      <c r="I9" s="84" t="n">
        <v>4</v>
      </c>
      <c r="J9" s="33" t="n">
        <v>4250</v>
      </c>
      <c r="K9" s="46"/>
      <c r="L9" s="34"/>
      <c r="M9" s="35" t="n">
        <f aca="false">SUM(C9,I9)</f>
        <v>37</v>
      </c>
      <c r="N9" s="36" t="n">
        <f aca="false">SUM(D9,J9)</f>
        <v>58100</v>
      </c>
      <c r="O9" s="38" t="s">
        <v>477</v>
      </c>
      <c r="P9" s="38" t="s">
        <v>478</v>
      </c>
      <c r="Q9" s="38" t="n">
        <v>203</v>
      </c>
      <c r="R9" s="39" t="n">
        <v>343800</v>
      </c>
      <c r="S9" s="40"/>
      <c r="T9" s="41"/>
      <c r="U9" s="42" t="n">
        <f aca="false">SUM(Q9)</f>
        <v>203</v>
      </c>
      <c r="V9" s="90" t="n">
        <f aca="false">SUM(R9)</f>
        <v>343800</v>
      </c>
      <c r="W9" s="35" t="n">
        <f aca="false">SUM(M9,Q9)</f>
        <v>240</v>
      </c>
      <c r="X9" s="44" t="n">
        <f aca="false">SUM(N9,R9)</f>
        <v>401900</v>
      </c>
      <c r="Y9" s="45"/>
      <c r="Z9" s="40" t="n">
        <v>173</v>
      </c>
      <c r="AA9" s="40" t="s">
        <v>479</v>
      </c>
    </row>
    <row r="10" customFormat="false" ht="22.35" hidden="false" customHeight="false" outlineLevel="0" collapsed="false">
      <c r="A10" s="100" t="s">
        <v>480</v>
      </c>
      <c r="B10" s="100" t="s"/>
      <c r="C10" s="27" t="n">
        <v>21</v>
      </c>
      <c r="D10" s="28" t="n">
        <v>38600</v>
      </c>
      <c r="E10" s="29"/>
      <c r="F10" s="30"/>
      <c r="G10" s="83" t="s">
        <v>481</v>
      </c>
      <c r="H10" s="32" t="s">
        <v>482</v>
      </c>
      <c r="I10" s="84" t="n">
        <v>5</v>
      </c>
      <c r="J10" s="33" t="n">
        <v>3250</v>
      </c>
      <c r="K10" s="46"/>
      <c r="L10" s="34"/>
      <c r="M10" s="35" t="n">
        <f aca="false">SUM(C10,I10)</f>
        <v>26</v>
      </c>
      <c r="N10" s="36" t="n">
        <f aca="false">SUM(D10,J10)</f>
        <v>41850</v>
      </c>
      <c r="O10" s="38" t="s">
        <v>483</v>
      </c>
      <c r="P10" s="38" t="s">
        <v>484</v>
      </c>
      <c r="Q10" s="38" t="n">
        <v>160</v>
      </c>
      <c r="R10" s="39" t="n">
        <v>487356.07</v>
      </c>
      <c r="S10" s="40"/>
      <c r="T10" s="41"/>
      <c r="U10" s="42" t="n">
        <f aca="false">SUM(Q10)</f>
        <v>160</v>
      </c>
      <c r="V10" s="90" t="n">
        <f aca="false">SUM(R10)</f>
        <v>487356.07</v>
      </c>
      <c r="W10" s="35" t="n">
        <f aca="false">SUM(M10,Q10)</f>
        <v>186</v>
      </c>
      <c r="X10" s="44" t="n">
        <f aca="false">SUM(N10,R10)</f>
        <v>529206.07</v>
      </c>
      <c r="Y10" s="45"/>
      <c r="Z10" s="40" t="n">
        <v>182</v>
      </c>
      <c r="AA10" s="40" t="s">
        <v>485</v>
      </c>
    </row>
    <row r="11" customFormat="false" ht="22.35" hidden="false" customHeight="false" outlineLevel="0" collapsed="false">
      <c r="A11" s="100" t="s">
        <v>486</v>
      </c>
      <c r="B11" s="100" t="s"/>
      <c r="C11" s="27" t="n">
        <v>17</v>
      </c>
      <c r="D11" s="28" t="n">
        <v>26800</v>
      </c>
      <c r="E11" s="29"/>
      <c r="F11" s="30"/>
      <c r="G11" s="83" t="s">
        <v>487</v>
      </c>
      <c r="H11" s="32" t="s">
        <v>488</v>
      </c>
      <c r="I11" s="84" t="n">
        <v>7</v>
      </c>
      <c r="J11" s="33" t="n">
        <v>3900</v>
      </c>
      <c r="K11" s="46"/>
      <c r="L11" s="34"/>
      <c r="M11" s="35" t="n">
        <f aca="false">SUM(C11,I11)</f>
        <v>24</v>
      </c>
      <c r="N11" s="36" t="n">
        <f aca="false">SUM(D11,J11)</f>
        <v>30700</v>
      </c>
      <c r="O11" s="38" t="s">
        <v>489</v>
      </c>
      <c r="P11" s="38" t="s">
        <v>490</v>
      </c>
      <c r="Q11" s="38" t="n">
        <v>305</v>
      </c>
      <c r="R11" s="39" t="n">
        <v>758469.29</v>
      </c>
      <c r="S11" s="40"/>
      <c r="T11" s="41"/>
      <c r="U11" s="42" t="n">
        <f aca="false">SUM(Q11)</f>
        <v>305</v>
      </c>
      <c r="V11" s="90" t="n">
        <f aca="false">SUM(R11)</f>
        <v>758469.29</v>
      </c>
      <c r="W11" s="35" t="n">
        <f aca="false">SUM(M11,Q11)</f>
        <v>329</v>
      </c>
      <c r="X11" s="44" t="n">
        <f aca="false">SUM(N11,R11)</f>
        <v>789169.29</v>
      </c>
      <c r="Y11" s="45"/>
      <c r="Z11" s="40" t="n">
        <v>187</v>
      </c>
      <c r="AA11" s="40" t="s">
        <v>491</v>
      </c>
    </row>
    <row r="12" customFormat="false" ht="22.35" hidden="false" customHeight="false" outlineLevel="0" collapsed="false">
      <c r="A12" s="100" t="s">
        <v>492</v>
      </c>
      <c r="B12" s="100" t="s"/>
      <c r="C12" s="27" t="n">
        <v>17</v>
      </c>
      <c r="D12" s="28" t="n">
        <v>38540</v>
      </c>
      <c r="E12" s="29"/>
      <c r="F12" s="30"/>
      <c r="G12" s="83" t="s">
        <v>493</v>
      </c>
      <c r="H12" s="32" t="s">
        <v>494</v>
      </c>
      <c r="I12" s="84" t="n">
        <v>3</v>
      </c>
      <c r="J12" s="33" t="n">
        <v>1300</v>
      </c>
      <c r="K12" s="46"/>
      <c r="L12" s="34"/>
      <c r="M12" s="35" t="n">
        <f aca="false">SUM(C12,I12)</f>
        <v>20</v>
      </c>
      <c r="N12" s="36" t="n">
        <f aca="false">SUM(D12,J12)</f>
        <v>39840</v>
      </c>
      <c r="O12" s="38" t="s">
        <v>495</v>
      </c>
      <c r="P12" s="38" t="s">
        <v>496</v>
      </c>
      <c r="Q12" s="38" t="n">
        <v>196</v>
      </c>
      <c r="R12" s="39" t="n">
        <v>600239.64</v>
      </c>
      <c r="S12" s="40"/>
      <c r="T12" s="41"/>
      <c r="U12" s="42" t="n">
        <f aca="false">SUM(Q12)</f>
        <v>196</v>
      </c>
      <c r="V12" s="90" t="n">
        <f aca="false">SUM(R12)</f>
        <v>600239.64</v>
      </c>
      <c r="W12" s="35" t="n">
        <f aca="false">SUM(M12,Q12)</f>
        <v>216</v>
      </c>
      <c r="X12" s="44" t="n">
        <f aca="false">SUM(N12,R12)</f>
        <v>640079.64</v>
      </c>
      <c r="Y12" s="45"/>
      <c r="Z12" s="40" t="n">
        <v>199</v>
      </c>
      <c r="AA12" s="40" t="s">
        <v>497</v>
      </c>
    </row>
    <row r="13" customFormat="false" ht="22.35" hidden="false" customHeight="false" outlineLevel="0" collapsed="false">
      <c r="A13" s="100" t="s">
        <v>498</v>
      </c>
      <c r="B13" s="100" t="s"/>
      <c r="C13" s="27" t="n">
        <v>26</v>
      </c>
      <c r="D13" s="28" t="n">
        <v>26460</v>
      </c>
      <c r="E13" s="29"/>
      <c r="F13" s="30"/>
      <c r="G13" s="83" t="s">
        <v>499</v>
      </c>
      <c r="H13" s="32" t="s">
        <v>500</v>
      </c>
      <c r="I13" s="84" t="n">
        <v>7</v>
      </c>
      <c r="J13" s="33" t="n">
        <v>3300</v>
      </c>
      <c r="K13" s="46"/>
      <c r="L13" s="34"/>
      <c r="M13" s="35" t="n">
        <f aca="false">SUM(C13,I13)</f>
        <v>33</v>
      </c>
      <c r="N13" s="36" t="n">
        <f aca="false">SUM(D13,J13)</f>
        <v>29760</v>
      </c>
      <c r="O13" s="38" t="s">
        <v>501</v>
      </c>
      <c r="P13" s="38" t="s">
        <v>502</v>
      </c>
      <c r="Q13" s="38" t="n">
        <v>230</v>
      </c>
      <c r="R13" s="39" t="n">
        <v>604424.36</v>
      </c>
      <c r="S13" s="40"/>
      <c r="T13" s="41"/>
      <c r="U13" s="42" t="n">
        <f aca="false">SUM(Q13)</f>
        <v>230</v>
      </c>
      <c r="V13" s="90" t="n">
        <f aca="false">SUM(R13)</f>
        <v>604424.36</v>
      </c>
      <c r="W13" s="35" t="n">
        <f aca="false">SUM(M13,Q13)</f>
        <v>263</v>
      </c>
      <c r="X13" s="44" t="n">
        <f aca="false">SUM(N13,R13)</f>
        <v>634184.36</v>
      </c>
      <c r="Y13" s="45"/>
      <c r="Z13" s="40" t="n">
        <v>208</v>
      </c>
      <c r="AA13" s="40" t="s">
        <v>503</v>
      </c>
    </row>
    <row r="14" customFormat="false" ht="22.35" hidden="false" customHeight="false" outlineLevel="0" collapsed="false">
      <c r="A14" s="100" t="s">
        <v>504</v>
      </c>
      <c r="B14" s="100" t="s"/>
      <c r="C14" s="27" t="n">
        <v>47</v>
      </c>
      <c r="D14" s="28" t="n">
        <v>67950</v>
      </c>
      <c r="E14" s="29"/>
      <c r="F14" s="30"/>
      <c r="G14" s="83" t="s">
        <v>505</v>
      </c>
      <c r="H14" s="32" t="s">
        <v>506</v>
      </c>
      <c r="I14" s="84" t="n">
        <v>9</v>
      </c>
      <c r="J14" s="33" t="n">
        <v>5000</v>
      </c>
      <c r="K14" s="46"/>
      <c r="L14" s="34"/>
      <c r="M14" s="35" t="n">
        <f aca="false">SUM(C14,I14)</f>
        <v>56</v>
      </c>
      <c r="N14" s="36" t="n">
        <f aca="false">SUM(D14,J14)</f>
        <v>72950</v>
      </c>
      <c r="O14" s="38" t="s">
        <v>507</v>
      </c>
      <c r="P14" s="38" t="s">
        <v>508</v>
      </c>
      <c r="Q14" s="38" t="n">
        <v>187</v>
      </c>
      <c r="R14" s="39" t="n">
        <v>366541.79</v>
      </c>
      <c r="S14" s="40"/>
      <c r="T14" s="41"/>
      <c r="U14" s="42" t="n">
        <f aca="false">SUM(Q14)</f>
        <v>187</v>
      </c>
      <c r="V14" s="90" t="n">
        <f aca="false">SUM(R14)</f>
        <v>366541.79</v>
      </c>
      <c r="W14" s="35" t="n">
        <f aca="false">SUM(M14,Q14)</f>
        <v>243</v>
      </c>
      <c r="X14" s="44" t="n">
        <f aca="false">SUM(N14,R14)</f>
        <v>439491.79</v>
      </c>
      <c r="Y14" s="45"/>
      <c r="Z14" s="40" t="n">
        <v>214</v>
      </c>
      <c r="AA14" s="40" t="s">
        <v>509</v>
      </c>
    </row>
    <row r="15" customFormat="false" ht="22.35" hidden="false" customHeight="false" outlineLevel="0" collapsed="false">
      <c r="A15" s="100" t="s">
        <v>510</v>
      </c>
      <c r="B15" s="100" t="s"/>
      <c r="C15" s="27" t="n">
        <v>11</v>
      </c>
      <c r="D15" s="28" t="n">
        <v>20350</v>
      </c>
      <c r="E15" s="29"/>
      <c r="F15" s="30"/>
      <c r="G15" s="83" t="s">
        <v>511</v>
      </c>
      <c r="H15" s="32" t="s">
        <v>512</v>
      </c>
      <c r="I15" s="84" t="n">
        <v>13</v>
      </c>
      <c r="J15" s="33" t="n">
        <v>9850</v>
      </c>
      <c r="K15" s="46"/>
      <c r="L15" s="34"/>
      <c r="M15" s="35" t="n">
        <f aca="false">SUM(C15,I15)</f>
        <v>24</v>
      </c>
      <c r="N15" s="36" t="n">
        <f aca="false">SUM(D15,J15)</f>
        <v>30200</v>
      </c>
      <c r="O15" s="38" t="s">
        <v>513</v>
      </c>
      <c r="P15" s="38" t="s">
        <v>514</v>
      </c>
      <c r="Q15" s="38" t="n">
        <v>156</v>
      </c>
      <c r="R15" s="39" t="n">
        <v>328634.3</v>
      </c>
      <c r="S15" s="40"/>
      <c r="T15" s="41"/>
      <c r="U15" s="42" t="n">
        <f aca="false">SUM(Q15)</f>
        <v>156</v>
      </c>
      <c r="V15" s="90" t="n">
        <f aca="false">SUM(R15)</f>
        <v>328634.3</v>
      </c>
      <c r="W15" s="35" t="n">
        <f aca="false">SUM(M15,Q15)</f>
        <v>180</v>
      </c>
      <c r="X15" s="44" t="n">
        <f aca="false">SUM(N15,R15)</f>
        <v>358834.3</v>
      </c>
      <c r="Y15" s="45"/>
      <c r="Z15" s="40" t="n">
        <v>220</v>
      </c>
      <c r="AA15" s="40" t="s">
        <v>515</v>
      </c>
    </row>
    <row r="16" customFormat="false" ht="22.35" hidden="false" customHeight="false" outlineLevel="0" collapsed="false">
      <c r="A16" s="100" t="s">
        <v>516</v>
      </c>
      <c r="B16" s="100" t="s"/>
      <c r="C16" s="27" t="n">
        <v>16</v>
      </c>
      <c r="D16" s="28" t="n">
        <v>41800</v>
      </c>
      <c r="E16" s="29"/>
      <c r="F16" s="30"/>
      <c r="G16" s="83" t="s">
        <v>517</v>
      </c>
      <c r="H16" s="98" t="s">
        <v>518</v>
      </c>
      <c r="I16" s="84" t="n">
        <v>9</v>
      </c>
      <c r="J16" s="33" t="n">
        <v>5600</v>
      </c>
      <c r="K16" s="46"/>
      <c r="L16" s="34"/>
      <c r="M16" s="35" t="n">
        <f aca="false">SUM(C16,I16)</f>
        <v>25</v>
      </c>
      <c r="N16" s="36" t="n">
        <f aca="false">SUM(D16,J16)</f>
        <v>47400</v>
      </c>
      <c r="O16" s="38" t="s">
        <v>519</v>
      </c>
      <c r="P16" s="38" t="s">
        <v>520</v>
      </c>
      <c r="Q16" s="38" t="n">
        <v>275</v>
      </c>
      <c r="R16" s="39" t="n">
        <v>648800</v>
      </c>
      <c r="S16" s="40"/>
      <c r="T16" s="41"/>
      <c r="U16" s="42" t="n">
        <f aca="false">SUM(Q16)</f>
        <v>275</v>
      </c>
      <c r="V16" s="90" t="n">
        <f aca="false">SUM(R16)</f>
        <v>648800</v>
      </c>
      <c r="W16" s="35" t="n">
        <f aca="false">SUM(M16,Q16)</f>
        <v>300</v>
      </c>
      <c r="X16" s="44" t="n">
        <f aca="false">SUM(N16,R16)</f>
        <v>696200</v>
      </c>
      <c r="Y16" s="45"/>
      <c r="Z16" s="40" t="n">
        <v>226</v>
      </c>
      <c r="AA16" s="40" t="s">
        <v>521</v>
      </c>
    </row>
    <row r="17" customFormat="false" ht="22.35" hidden="false" customHeight="false" outlineLevel="0" collapsed="false">
      <c r="A17" s="100" t="s">
        <v>522</v>
      </c>
      <c r="B17" s="100" t="s"/>
      <c r="C17" s="27" t="n">
        <v>18</v>
      </c>
      <c r="D17" s="28" t="n">
        <v>108110</v>
      </c>
      <c r="E17" s="29"/>
      <c r="F17" s="30"/>
      <c r="G17" s="83" t="s">
        <v>523</v>
      </c>
      <c r="H17" s="32" t="s">
        <v>524</v>
      </c>
      <c r="I17" s="84" t="n">
        <v>5</v>
      </c>
      <c r="J17" s="33" t="n">
        <v>5000</v>
      </c>
      <c r="K17" s="46"/>
      <c r="L17" s="34"/>
      <c r="M17" s="35" t="n">
        <f aca="false">SUM(C17,I17)</f>
        <v>23</v>
      </c>
      <c r="N17" s="36" t="n">
        <f aca="false">SUM(D17,J17)</f>
        <v>113110</v>
      </c>
      <c r="O17" s="38" t="s">
        <v>525</v>
      </c>
      <c r="P17" s="38" t="s">
        <v>526</v>
      </c>
      <c r="Q17" s="38" t="n">
        <v>121</v>
      </c>
      <c r="R17" s="39" t="n">
        <v>185647.14</v>
      </c>
      <c r="S17" s="40"/>
      <c r="T17" s="41"/>
      <c r="U17" s="42" t="n">
        <f aca="false">SUM(Q17)</f>
        <v>121</v>
      </c>
      <c r="V17" s="90" t="n">
        <f aca="false">SUM(R17)</f>
        <v>185647.14</v>
      </c>
      <c r="W17" s="35" t="n">
        <f aca="false">SUM(M17,Q17)</f>
        <v>144</v>
      </c>
      <c r="X17" s="44" t="n">
        <f aca="false">SUM(N17,R17)</f>
        <v>298757.14</v>
      </c>
      <c r="Y17" s="45"/>
      <c r="Z17" s="40" t="n">
        <v>233</v>
      </c>
      <c r="AA17" s="40" t="s">
        <v>527</v>
      </c>
    </row>
    <row r="18" customFormat="false" ht="22.35" hidden="false" customHeight="false" outlineLevel="0" collapsed="false">
      <c r="A18" s="100" t="s">
        <v>528</v>
      </c>
      <c r="B18" s="100" t="s"/>
      <c r="C18" s="27" t="n">
        <v>24</v>
      </c>
      <c r="D18" s="28" t="n">
        <v>33030</v>
      </c>
      <c r="E18" s="29"/>
      <c r="F18" s="30"/>
      <c r="G18" s="32" t="s">
        <v>529</v>
      </c>
      <c r="H18" s="99" t="s">
        <v>530</v>
      </c>
      <c r="I18" s="84" t="n">
        <v>7</v>
      </c>
      <c r="J18" s="33" t="n">
        <v>4800</v>
      </c>
      <c r="K18" s="46"/>
      <c r="L18" s="34"/>
      <c r="M18" s="35" t="n">
        <f aca="false">SUM(C18,I18)</f>
        <v>31</v>
      </c>
      <c r="N18" s="36" t="n">
        <f aca="false">SUM(D18,J18)</f>
        <v>37830</v>
      </c>
      <c r="O18" s="38" t="s">
        <v>531</v>
      </c>
      <c r="P18" s="38" t="s">
        <v>532</v>
      </c>
      <c r="Q18" s="38" t="n">
        <v>134</v>
      </c>
      <c r="R18" s="39" t="n">
        <v>244508.21</v>
      </c>
      <c r="S18" s="40"/>
      <c r="T18" s="41"/>
      <c r="U18" s="42" t="n">
        <f aca="false">SUM(Q18)</f>
        <v>134</v>
      </c>
      <c r="V18" s="90" t="n">
        <f aca="false">SUM(R18)</f>
        <v>244508.21</v>
      </c>
      <c r="W18" s="35" t="n">
        <f aca="false">SUM(M18,Q18)</f>
        <v>165</v>
      </c>
      <c r="X18" s="44" t="n">
        <f aca="false">SUM(N18,R18)</f>
        <v>282338.21</v>
      </c>
      <c r="Y18" s="47"/>
      <c r="Z18" s="40" t="n">
        <v>242</v>
      </c>
      <c r="AA18" s="40" t="s">
        <v>533</v>
      </c>
    </row>
    <row r="19" customFormat="false" ht="22.35" hidden="false" customHeight="false" outlineLevel="0" collapsed="false">
      <c r="A19" s="100" t="s">
        <v>534</v>
      </c>
      <c r="B19" s="100" t="s"/>
      <c r="C19" s="27" t="n">
        <v>23</v>
      </c>
      <c r="D19" s="28" t="n">
        <v>22820</v>
      </c>
      <c r="E19" s="29"/>
      <c r="F19" s="30"/>
      <c r="G19" s="83" t="s">
        <v>535</v>
      </c>
      <c r="H19" s="32" t="s">
        <v>536</v>
      </c>
      <c r="I19" s="84" t="n">
        <v>9</v>
      </c>
      <c r="J19" s="33" t="n">
        <v>4900</v>
      </c>
      <c r="K19" s="46"/>
      <c r="L19" s="34"/>
      <c r="M19" s="35" t="n">
        <f aca="false">SUM(C19,I19)</f>
        <v>32</v>
      </c>
      <c r="N19" s="36" t="n">
        <f aca="false">SUM(D19,J19)</f>
        <v>27720</v>
      </c>
      <c r="O19" s="38" t="s">
        <v>537</v>
      </c>
      <c r="P19" s="38" t="s">
        <v>538</v>
      </c>
      <c r="Q19" s="38" t="n">
        <v>140</v>
      </c>
      <c r="R19" s="39" t="n">
        <v>412067.87</v>
      </c>
      <c r="S19" s="40"/>
      <c r="T19" s="41"/>
      <c r="U19" s="42" t="n">
        <f aca="false">SUM(Q19)</f>
        <v>140</v>
      </c>
      <c r="V19" s="90" t="n">
        <f aca="false">SUM(R19)</f>
        <v>412067.87</v>
      </c>
      <c r="W19" s="35" t="n">
        <f aca="false">SUM(M19,Q19)</f>
        <v>172</v>
      </c>
      <c r="X19" s="44" t="n">
        <f aca="false">SUM(N19,R19)</f>
        <v>439787.87</v>
      </c>
      <c r="Y19" s="47"/>
      <c r="Z19" s="40" t="n">
        <v>247</v>
      </c>
      <c r="AA19" s="40" t="s">
        <v>539</v>
      </c>
    </row>
    <row r="20" customFormat="false" ht="22.35" hidden="false" customHeight="false" outlineLevel="0" collapsed="false">
      <c r="A20" s="100" t="s">
        <v>540</v>
      </c>
      <c r="B20" s="100" t="s"/>
      <c r="C20" s="27" t="n">
        <v>16</v>
      </c>
      <c r="D20" s="28" t="n">
        <v>264310</v>
      </c>
      <c r="E20" s="29"/>
      <c r="F20" s="30"/>
      <c r="G20" s="83" t="s">
        <v>541</v>
      </c>
      <c r="H20" s="32" t="s">
        <v>542</v>
      </c>
      <c r="I20" s="84" t="n">
        <v>4</v>
      </c>
      <c r="J20" s="33" t="n">
        <v>3500</v>
      </c>
      <c r="K20" s="46"/>
      <c r="L20" s="34"/>
      <c r="M20" s="35" t="n">
        <f aca="false">SUM(C20,I20)</f>
        <v>20</v>
      </c>
      <c r="N20" s="36" t="n">
        <f aca="false">SUM(D20,J20)</f>
        <v>267810</v>
      </c>
      <c r="O20" s="38" t="s">
        <v>543</v>
      </c>
      <c r="P20" s="38" t="s">
        <v>544</v>
      </c>
      <c r="Q20" s="38" t="n">
        <v>192</v>
      </c>
      <c r="R20" s="39" t="n">
        <v>473500</v>
      </c>
      <c r="S20" s="40"/>
      <c r="T20" s="41"/>
      <c r="U20" s="42" t="n">
        <f aca="false">SUM(Q20)</f>
        <v>192</v>
      </c>
      <c r="V20" s="90" t="n">
        <f aca="false">SUM(R20)</f>
        <v>473500</v>
      </c>
      <c r="W20" s="35" t="n">
        <f aca="false">SUM(M20,Q20)</f>
        <v>212</v>
      </c>
      <c r="X20" s="44" t="n">
        <f aca="false">SUM(N20,R20)</f>
        <v>741310</v>
      </c>
      <c r="Y20" s="45"/>
      <c r="Z20" s="40" t="n">
        <v>255</v>
      </c>
      <c r="AA20" s="40" t="s">
        <v>545</v>
      </c>
    </row>
    <row r="21" customFormat="false" ht="22.35" hidden="false" customHeight="false" outlineLevel="0" collapsed="false">
      <c r="A21" s="100" t="s">
        <v>546</v>
      </c>
      <c r="B21" s="100" t="s"/>
      <c r="C21" s="27" t="n">
        <v>11</v>
      </c>
      <c r="D21" s="28" t="n">
        <v>1059110</v>
      </c>
      <c r="E21" s="29"/>
      <c r="F21" s="30"/>
      <c r="G21" s="83" t="s">
        <v>547</v>
      </c>
      <c r="H21" s="46" t="s">
        <v>38</v>
      </c>
      <c r="I21" s="84" t="n">
        <v>1</v>
      </c>
      <c r="J21" s="33" t="n">
        <v>500</v>
      </c>
      <c r="K21" s="46"/>
      <c r="L21" s="34"/>
      <c r="M21" s="35" t="n">
        <f aca="false">SUM(C21,I21)</f>
        <v>12</v>
      </c>
      <c r="N21" s="36" t="n">
        <f aca="false">SUM(D21,J21)</f>
        <v>1059610</v>
      </c>
      <c r="O21" s="38" t="s">
        <v>548</v>
      </c>
      <c r="P21" s="38" t="s">
        <v>549</v>
      </c>
      <c r="Q21" s="38" t="n">
        <v>242</v>
      </c>
      <c r="R21" s="39" t="n">
        <v>613522.86</v>
      </c>
      <c r="S21" s="40"/>
      <c r="T21" s="41"/>
      <c r="U21" s="42" t="n">
        <f aca="false">SUM(Q21)</f>
        <v>242</v>
      </c>
      <c r="V21" s="90" t="n">
        <f aca="false">SUM(R21)</f>
        <v>613522.86</v>
      </c>
      <c r="W21" s="35" t="n">
        <f aca="false">SUM(M21,Q21)</f>
        <v>254</v>
      </c>
      <c r="X21" s="44" t="n">
        <f aca="false">SUM(N21,R21)</f>
        <v>1673132.86</v>
      </c>
      <c r="Y21" s="45"/>
      <c r="Z21" s="40" t="n">
        <v>266</v>
      </c>
      <c r="AA21" s="40" t="s">
        <v>550</v>
      </c>
    </row>
    <row r="22" customFormat="false" ht="22.35" hidden="false" customHeight="false" outlineLevel="0" collapsed="false">
      <c r="A22" s="100" t="s">
        <v>551</v>
      </c>
      <c r="B22" s="100" t="s"/>
      <c r="C22" s="27" t="n">
        <v>28</v>
      </c>
      <c r="D22" s="28" t="n">
        <v>152910</v>
      </c>
      <c r="E22" s="29"/>
      <c r="F22" s="30"/>
      <c r="G22" s="85" t="s">
        <v>38</v>
      </c>
      <c r="H22" s="46" t="s">
        <v>38</v>
      </c>
      <c r="I22" s="84" t="s">
        <v>38</v>
      </c>
      <c r="J22" s="33" t="s">
        <v>38</v>
      </c>
      <c r="K22" s="46"/>
      <c r="L22" s="34"/>
      <c r="M22" s="35" t="n">
        <f aca="false">SUM(C22,I22)</f>
        <v>28</v>
      </c>
      <c r="N22" s="36" t="n">
        <f aca="false">SUM(D22,J22)</f>
        <v>152910</v>
      </c>
      <c r="O22" s="38" t="s">
        <v>552</v>
      </c>
      <c r="P22" s="38" t="s">
        <v>553</v>
      </c>
      <c r="Q22" s="38" t="n">
        <v>214</v>
      </c>
      <c r="R22" s="39" t="n">
        <v>472483.92</v>
      </c>
      <c r="S22" s="40"/>
      <c r="T22" s="41"/>
      <c r="U22" s="42" t="n">
        <f aca="false">SUM(Q22)</f>
        <v>214</v>
      </c>
      <c r="V22" s="90" t="n">
        <f aca="false">SUM(R22)</f>
        <v>472483.92</v>
      </c>
      <c r="W22" s="35" t="n">
        <f aca="false">SUM(M22,Q22)</f>
        <v>242</v>
      </c>
      <c r="X22" s="44" t="n">
        <f aca="false">SUM(N22,R22)</f>
        <v>625393.92</v>
      </c>
      <c r="Y22" s="45"/>
      <c r="Z22" s="40" t="n">
        <v>271</v>
      </c>
      <c r="AA22" s="40" t="s">
        <v>554</v>
      </c>
    </row>
    <row r="23" customFormat="false" ht="22.35" hidden="false" customHeight="false" outlineLevel="0" collapsed="false">
      <c r="A23" s="100" t="s">
        <v>555</v>
      </c>
      <c r="B23" s="100" t="s"/>
      <c r="C23" s="27" t="n">
        <v>46</v>
      </c>
      <c r="D23" s="28" t="n">
        <v>35550</v>
      </c>
      <c r="E23" s="29"/>
      <c r="F23" s="30"/>
      <c r="G23" s="83" t="s">
        <v>556</v>
      </c>
      <c r="H23" s="32" t="s">
        <v>557</v>
      </c>
      <c r="I23" s="84" t="n">
        <v>12</v>
      </c>
      <c r="J23" s="33" t="n">
        <v>5950</v>
      </c>
      <c r="K23" s="46"/>
      <c r="L23" s="34"/>
      <c r="M23" s="35" t="n">
        <f aca="false">SUM(C23,I23)</f>
        <v>58</v>
      </c>
      <c r="N23" s="36" t="n">
        <f aca="false">SUM(D23,J23)</f>
        <v>41500</v>
      </c>
      <c r="O23" s="37" t="s">
        <v>558</v>
      </c>
      <c r="P23" s="38" t="s">
        <v>559</v>
      </c>
      <c r="Q23" s="38" t="n">
        <v>233</v>
      </c>
      <c r="R23" s="39" t="n">
        <v>413200</v>
      </c>
      <c r="S23" s="40"/>
      <c r="T23" s="41"/>
      <c r="U23" s="42" t="n">
        <f aca="false">SUM(Q23)</f>
        <v>233</v>
      </c>
      <c r="V23" s="90" t="n">
        <f aca="false">SUM(R23)</f>
        <v>413200</v>
      </c>
      <c r="W23" s="35" t="n">
        <f aca="false">SUM(M23,Q23)</f>
        <v>291</v>
      </c>
      <c r="X23" s="44" t="n">
        <f aca="false">SUM(N23,R23)</f>
        <v>454700</v>
      </c>
      <c r="Y23" s="45"/>
      <c r="Z23" s="40" t="n">
        <v>278</v>
      </c>
      <c r="AA23" s="40" t="s">
        <v>560</v>
      </c>
    </row>
    <row r="24" customFormat="false" ht="43.25" hidden="false" customHeight="false" outlineLevel="0" collapsed="false">
      <c r="A24" s="100" t="s">
        <v>561</v>
      </c>
      <c r="B24" s="100" t="s"/>
      <c r="C24" s="49" t="n">
        <v>12</v>
      </c>
      <c r="D24" s="50" t="n">
        <v>13150</v>
      </c>
      <c r="E24" s="51"/>
      <c r="F24" s="52"/>
      <c r="G24" s="87" t="s">
        <v>562</v>
      </c>
      <c r="H24" s="91" t="s">
        <v>563</v>
      </c>
      <c r="I24" s="54" t="n">
        <v>3</v>
      </c>
      <c r="J24" s="56" t="n">
        <v>1400</v>
      </c>
      <c r="K24" s="55"/>
      <c r="L24" s="57"/>
      <c r="M24" s="35" t="n">
        <f aca="false">SUM(C24,I24)</f>
        <v>15</v>
      </c>
      <c r="N24" s="36" t="n">
        <f aca="false">SUM(D24,J24)</f>
        <v>14550</v>
      </c>
      <c r="O24" s="88" t="s">
        <v>564</v>
      </c>
      <c r="P24" s="89" t="s">
        <v>565</v>
      </c>
      <c r="Q24" s="60" t="n">
        <v>263</v>
      </c>
      <c r="R24" s="61" t="n">
        <v>694313.58</v>
      </c>
      <c r="S24" s="62"/>
      <c r="T24" s="63"/>
      <c r="U24" s="42"/>
      <c r="V24" s="42"/>
      <c r="W24" s="35" t="n">
        <f aca="false">SUM(M24,Q24)</f>
        <v>278</v>
      </c>
      <c r="X24" s="44" t="n">
        <f aca="false">SUM(N24,R24)</f>
        <v>708863.58</v>
      </c>
      <c r="Y24" s="92"/>
      <c r="Z24" s="40" t="n">
        <v>286</v>
      </c>
      <c r="AA24" s="40" t="s">
        <v>566</v>
      </c>
    </row>
    <row r="25" customFormat="false" ht="43.25" hidden="false" customHeight="false" outlineLevel="0" collapsed="false">
      <c r="A25" s="100" t="s">
        <v>567</v>
      </c>
      <c r="B25" s="100" t="s"/>
      <c r="C25" s="49" t="n">
        <v>12</v>
      </c>
      <c r="D25" s="50" t="n">
        <v>5950</v>
      </c>
      <c r="E25" s="51"/>
      <c r="F25" s="52"/>
      <c r="G25" s="87" t="s">
        <v>568</v>
      </c>
      <c r="H25" s="91" t="s">
        <v>569</v>
      </c>
      <c r="I25" s="54" t="n">
        <v>9</v>
      </c>
      <c r="J25" s="56" t="n">
        <v>5800</v>
      </c>
      <c r="K25" s="55"/>
      <c r="L25" s="57"/>
      <c r="M25" s="35" t="n">
        <f aca="false">SUM(C25,I25)</f>
        <v>21</v>
      </c>
      <c r="N25" s="36" t="n">
        <f aca="false">SUM(D25,J25)</f>
        <v>11750</v>
      </c>
      <c r="O25" s="88" t="s">
        <v>570</v>
      </c>
      <c r="P25" s="89" t="s">
        <v>571</v>
      </c>
      <c r="Q25" s="60" t="n">
        <v>317</v>
      </c>
      <c r="R25" s="61" t="n">
        <v>972975.72</v>
      </c>
      <c r="S25" s="62"/>
      <c r="T25" s="63"/>
      <c r="U25" s="42"/>
      <c r="V25" s="42"/>
      <c r="W25" s="35" t="n">
        <f aca="false">SUM(M25,Q25)</f>
        <v>338</v>
      </c>
      <c r="X25" s="44" t="n">
        <f aca="false">SUM(N25,R25)</f>
        <v>984725.72</v>
      </c>
      <c r="Y25" s="92"/>
      <c r="Z25" s="40" t="n">
        <v>292</v>
      </c>
      <c r="AA25" s="40" t="s">
        <v>572</v>
      </c>
    </row>
    <row r="26" customFormat="false" ht="22.35" hidden="true" customHeight="false" outlineLevel="0" collapsed="false">
      <c r="A26" s="100" t="s">
        <v>573</v>
      </c>
      <c r="B26" s="100" t="s"/>
      <c r="C26" s="49"/>
      <c r="D26" s="50"/>
      <c r="E26" s="51"/>
      <c r="F26" s="52"/>
      <c r="G26" s="87"/>
      <c r="H26" s="91"/>
      <c r="I26" s="54"/>
      <c r="J26" s="56"/>
      <c r="K26" s="55"/>
      <c r="L26" s="57"/>
      <c r="M26" s="35" t="n">
        <f aca="false">SUM(C26,I26)</f>
        <v>0</v>
      </c>
      <c r="N26" s="36" t="n">
        <f aca="false">SUM(D26,J26)</f>
        <v>0</v>
      </c>
      <c r="O26" s="58"/>
      <c r="P26" s="59"/>
      <c r="Q26" s="60"/>
      <c r="R26" s="61"/>
      <c r="S26" s="62"/>
      <c r="T26" s="63"/>
      <c r="U26" s="42"/>
      <c r="V26" s="42"/>
      <c r="W26" s="35" t="n">
        <f aca="false">SUM(M26,Q26)</f>
        <v>0</v>
      </c>
      <c r="X26" s="44" t="n">
        <f aca="false">SUM(N26,R26)</f>
        <v>0</v>
      </c>
      <c r="Y26" s="92"/>
      <c r="Z26" s="40"/>
      <c r="AA26" s="40"/>
    </row>
    <row r="27" customFormat="false" ht="19.7" hidden="false" customHeight="false" outlineLevel="0" collapsed="false">
      <c r="A27" s="101" t="s">
        <v>122</v>
      </c>
      <c r="B27" s="101" t="s"/>
      <c r="C27" s="67" t="n">
        <f aca="false">SUM(C6:C26)</f>
        <v>442</v>
      </c>
      <c r="D27" s="68" t="n">
        <f aca="false">SUM(D6:D26)</f>
        <v>2105730</v>
      </c>
      <c r="E27" s="69" t="n">
        <f aca="false">SUM(E6:E23)</f>
        <v>0</v>
      </c>
      <c r="F27" s="70" t="n">
        <f aca="false">SUM(F6:F23)</f>
        <v>0</v>
      </c>
      <c r="G27" s="71" t="s">
        <v>122</v>
      </c>
      <c r="H27" s="71"/>
      <c r="I27" s="72" t="n">
        <f aca="false">SUM(I6:I26)</f>
        <v>128</v>
      </c>
      <c r="J27" s="68" t="n">
        <f aca="false">SUM(J6:J26)</f>
        <v>78950</v>
      </c>
      <c r="K27" s="69" t="n">
        <f aca="false">SUM(K6:K23)</f>
        <v>0</v>
      </c>
      <c r="L27" s="70"/>
      <c r="M27" s="73" t="n">
        <f aca="false">SUM(M6:M23)</f>
        <v>534</v>
      </c>
      <c r="N27" s="74" t="n">
        <f aca="false">SUM(N6:N23)</f>
        <v>2158380</v>
      </c>
      <c r="O27" s="71" t="s">
        <v>122</v>
      </c>
      <c r="P27" s="71"/>
      <c r="Q27" s="75" t="n">
        <f aca="false">SUM(Q6:Q26)</f>
        <v>4178</v>
      </c>
      <c r="R27" s="76" t="n">
        <f aca="false">SUM(R6:R26)</f>
        <v>10014964.32</v>
      </c>
      <c r="S27" s="69" t="n">
        <f aca="false">SUM(S6:S23)</f>
        <v>0</v>
      </c>
      <c r="T27" s="70" t="n">
        <f aca="false">SUM(T6:T23)</f>
        <v>0</v>
      </c>
      <c r="U27" s="93" t="n">
        <f aca="false">SUM(U6:U23)</f>
        <v>3598</v>
      </c>
      <c r="V27" s="94" t="n">
        <f aca="false">SUM(V6:V23)</f>
        <v>8347675.02</v>
      </c>
      <c r="W27" s="73" t="n">
        <f aca="false">SUM(W6:W26)</f>
        <v>4748</v>
      </c>
      <c r="X27" s="79" t="n">
        <f aca="false">SUM(X6:X26)</f>
        <v>12199644.32</v>
      </c>
      <c r="Y27" s="80"/>
      <c r="Z27" s="81"/>
      <c r="AA27" s="81"/>
    </row>
    <row r="28" customFormat="false" ht="15.75" hidden="false" customHeight="false" outlineLevel="0" collapsed="false">
      <c r="A28" s="2"/>
      <c r="B28" s="2"/>
      <c r="C28" s="2"/>
      <c r="D28" s="82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5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5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5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5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5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3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65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3"/>
      <c r="R48" s="3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C998" s="2"/>
      <c r="D998" s="2"/>
      <c r="E998" s="2"/>
      <c r="F998" s="2"/>
      <c r="G998" s="2"/>
      <c r="H998" s="2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mergeCells count="32">
    <mergeCell ref="A1:AA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A3:AA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G27:H27"/>
    <mergeCell ref="O27:P2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>
  <sheetPr filterMode="false">
    <outlinePr summaryBelow="0"/>
    <pageSetUpPr fitToPage="true"/>
  </sheetPr>
  <dimension ref="A1:AA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574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3" t="s">
        <v>11</v>
      </c>
      <c r="D4" s="14" t="s">
        <v>12</v>
      </c>
      <c r="E4" s="15" t="s">
        <v>13</v>
      </c>
      <c r="F4" s="15"/>
      <c r="G4" s="16" t="s">
        <v>14</v>
      </c>
      <c r="H4" s="17" t="s">
        <v>15</v>
      </c>
      <c r="I4" s="18" t="s">
        <v>11</v>
      </c>
      <c r="J4" s="18" t="s">
        <v>12</v>
      </c>
      <c r="K4" s="19" t="s">
        <v>16</v>
      </c>
      <c r="L4" s="19"/>
      <c r="M4" s="20" t="s">
        <v>17</v>
      </c>
      <c r="N4" s="21" t="s">
        <v>18</v>
      </c>
      <c r="O4" s="22" t="s">
        <v>14</v>
      </c>
      <c r="P4" s="23" t="s">
        <v>15</v>
      </c>
      <c r="Q4" s="23" t="s">
        <v>11</v>
      </c>
      <c r="R4" s="23" t="s">
        <v>12</v>
      </c>
      <c r="S4" s="24" t="s">
        <v>13</v>
      </c>
      <c r="T4" s="24"/>
      <c r="U4" s="9" t="s">
        <v>17</v>
      </c>
      <c r="V4" s="25" t="s">
        <v>18</v>
      </c>
      <c r="W4" s="20" t="s">
        <v>17</v>
      </c>
      <c r="X4" s="21" t="s">
        <v>18</v>
      </c>
      <c r="Y4" s="10"/>
      <c r="Z4" s="11"/>
      <c r="AA4" s="11"/>
    </row>
    <row r="5" customFormat="false" ht="19.7" hidden="false" customHeight="false" outlineLevel="0" collapsed="false">
      <c r="A5" s="4"/>
      <c r="B5" s="4"/>
      <c r="C5" s="13"/>
      <c r="D5" s="14"/>
      <c r="E5" s="14" t="s">
        <v>19</v>
      </c>
      <c r="F5" s="15" t="s">
        <v>20</v>
      </c>
      <c r="G5" s="16"/>
      <c r="H5" s="17"/>
      <c r="I5" s="17"/>
      <c r="J5" s="17"/>
      <c r="K5" s="17" t="s">
        <v>19</v>
      </c>
      <c r="L5" s="19" t="s">
        <v>20</v>
      </c>
      <c r="M5" s="20"/>
      <c r="N5" s="21"/>
      <c r="O5" s="22"/>
      <c r="P5" s="23"/>
      <c r="Q5" s="23"/>
      <c r="R5" s="23"/>
      <c r="S5" s="23" t="s">
        <v>11</v>
      </c>
      <c r="T5" s="24" t="s">
        <v>20</v>
      </c>
      <c r="U5" s="9"/>
      <c r="V5" s="25"/>
      <c r="W5" s="20"/>
      <c r="X5" s="21"/>
      <c r="Y5" s="10"/>
      <c r="Z5" s="11"/>
      <c r="AA5" s="11"/>
    </row>
    <row r="6" customFormat="false" ht="22.35" hidden="false" customHeight="false" outlineLevel="0" collapsed="false">
      <c r="A6" s="100" t="s">
        <v>575</v>
      </c>
      <c r="B6" s="100" t="s"/>
      <c r="C6" s="27" t="n">
        <v>25</v>
      </c>
      <c r="D6" s="28" t="n">
        <v>16400</v>
      </c>
      <c r="E6" s="29"/>
      <c r="F6" s="30"/>
      <c r="G6" s="85" t="s">
        <v>38</v>
      </c>
      <c r="H6" s="55" t="s">
        <v>38</v>
      </c>
      <c r="I6" s="84" t="s">
        <v>38</v>
      </c>
      <c r="J6" s="33" t="s">
        <v>38</v>
      </c>
      <c r="K6" s="46"/>
      <c r="L6" s="34"/>
      <c r="M6" s="35" t="n">
        <f aca="false">SUM(C6,I6)</f>
        <v>25</v>
      </c>
      <c r="N6" s="36" t="n">
        <f aca="false">SUM(D6,J6)</f>
        <v>16400</v>
      </c>
      <c r="O6" s="38" t="s">
        <v>576</v>
      </c>
      <c r="P6" s="38" t="s">
        <v>577</v>
      </c>
      <c r="Q6" s="38" t="n">
        <v>611</v>
      </c>
      <c r="R6" s="39" t="n">
        <v>1653235.57</v>
      </c>
      <c r="S6" s="40"/>
      <c r="T6" s="41"/>
      <c r="U6" s="42" t="n">
        <f aca="false">SUM(Q6)</f>
        <v>611</v>
      </c>
      <c r="V6" s="90" t="n">
        <f aca="false">SUM(R6)</f>
        <v>1653235.57</v>
      </c>
      <c r="W6" s="35" t="n">
        <f aca="false">SUM(M6,Q6)</f>
        <v>636</v>
      </c>
      <c r="X6" s="44" t="n">
        <f aca="false">SUM(N6,R6)</f>
        <v>1669635.57</v>
      </c>
      <c r="Y6" s="45"/>
      <c r="Z6" s="40" t="n">
        <v>300</v>
      </c>
      <c r="AA6" s="40" t="s">
        <v>578</v>
      </c>
    </row>
    <row r="7" customFormat="false" ht="22.35" hidden="false" customHeight="false" outlineLevel="0" collapsed="false">
      <c r="A7" s="100" t="s">
        <v>579</v>
      </c>
      <c r="B7" s="100" t="s"/>
      <c r="C7" s="27" t="n">
        <v>21</v>
      </c>
      <c r="D7" s="28" t="n">
        <v>25120</v>
      </c>
      <c r="E7" s="29"/>
      <c r="F7" s="30"/>
      <c r="G7" s="83" t="s">
        <v>580</v>
      </c>
      <c r="H7" s="32" t="s">
        <v>581</v>
      </c>
      <c r="I7" s="84" t="n">
        <v>3</v>
      </c>
      <c r="J7" s="33" t="n">
        <v>1500</v>
      </c>
      <c r="K7" s="46"/>
      <c r="L7" s="34"/>
      <c r="M7" s="35" t="n">
        <f aca="false">SUM(C7,I7)</f>
        <v>24</v>
      </c>
      <c r="N7" s="36" t="n">
        <f aca="false">SUM(D7,J7)</f>
        <v>26620</v>
      </c>
      <c r="O7" s="38" t="s">
        <v>582</v>
      </c>
      <c r="P7" s="38" t="s">
        <v>583</v>
      </c>
      <c r="Q7" s="38" t="n">
        <v>106</v>
      </c>
      <c r="R7" s="39" t="n">
        <v>209837.48</v>
      </c>
      <c r="S7" s="40"/>
      <c r="T7" s="41"/>
      <c r="U7" s="42" t="n">
        <f aca="false">SUM(Q7)</f>
        <v>106</v>
      </c>
      <c r="V7" s="90" t="n">
        <f aca="false">SUM(R7)</f>
        <v>209837.48</v>
      </c>
      <c r="W7" s="35" t="n">
        <f aca="false">SUM(M7,Q7)</f>
        <v>130</v>
      </c>
      <c r="X7" s="44" t="n">
        <f aca="false">SUM(N7,R7)</f>
        <v>236457.48</v>
      </c>
      <c r="Y7" s="45"/>
      <c r="Z7" s="40" t="n">
        <v>305</v>
      </c>
      <c r="AA7" s="40" t="s">
        <v>584</v>
      </c>
    </row>
    <row r="8" customFormat="false" ht="22.35" hidden="false" customHeight="false" outlineLevel="0" collapsed="false">
      <c r="A8" s="100" t="s">
        <v>584</v>
      </c>
      <c r="B8" s="100" t="s"/>
      <c r="C8" s="27" t="n">
        <v>10</v>
      </c>
      <c r="D8" s="28" t="n">
        <v>11400</v>
      </c>
      <c r="E8" s="29"/>
      <c r="F8" s="30"/>
      <c r="G8" s="83" t="s">
        <v>585</v>
      </c>
      <c r="H8" s="32" t="s">
        <v>586</v>
      </c>
      <c r="I8" s="84" t="n">
        <v>6</v>
      </c>
      <c r="J8" s="33" t="n">
        <v>4750</v>
      </c>
      <c r="K8" s="46"/>
      <c r="L8" s="34"/>
      <c r="M8" s="35" t="n">
        <f aca="false">SUM(C8,I8)</f>
        <v>16</v>
      </c>
      <c r="N8" s="36" t="n">
        <f aca="false">SUM(D8,J8)</f>
        <v>16150</v>
      </c>
      <c r="O8" s="38" t="s">
        <v>587</v>
      </c>
      <c r="P8" s="38" t="s">
        <v>588</v>
      </c>
      <c r="Q8" s="38" t="n">
        <v>42</v>
      </c>
      <c r="R8" s="39" t="n">
        <v>56627.46</v>
      </c>
      <c r="S8" s="40"/>
      <c r="T8" s="41"/>
      <c r="U8" s="42" t="n">
        <f aca="false">SUM(Q8)</f>
        <v>42</v>
      </c>
      <c r="V8" s="90" t="n">
        <f aca="false">SUM(R8)</f>
        <v>56627.46</v>
      </c>
      <c r="W8" s="35" t="n">
        <f aca="false">SUM(M8,Q8)</f>
        <v>58</v>
      </c>
      <c r="X8" s="44" t="n">
        <f aca="false">SUM(N8,R8)</f>
        <v>72777.46</v>
      </c>
      <c r="Y8" s="96"/>
      <c r="Z8" s="40" t="n">
        <v>315</v>
      </c>
      <c r="AA8" s="40" t="s">
        <v>589</v>
      </c>
    </row>
    <row r="9" customFormat="false" ht="22.35" hidden="false" customHeight="false" outlineLevel="0" collapsed="false">
      <c r="A9" s="100" t="s">
        <v>589</v>
      </c>
      <c r="B9" s="100" t="s"/>
      <c r="C9" s="27" t="n">
        <v>13</v>
      </c>
      <c r="D9" s="28" t="n">
        <v>21100</v>
      </c>
      <c r="E9" s="29"/>
      <c r="F9" s="30"/>
      <c r="G9" s="83" t="s">
        <v>590</v>
      </c>
      <c r="H9" s="32" t="s">
        <v>591</v>
      </c>
      <c r="I9" s="84" t="n">
        <v>3</v>
      </c>
      <c r="J9" s="33" t="n">
        <v>1000</v>
      </c>
      <c r="K9" s="46"/>
      <c r="L9" s="34"/>
      <c r="M9" s="35" t="n">
        <f aca="false">SUM(C9,I9)</f>
        <v>16</v>
      </c>
      <c r="N9" s="36" t="n">
        <f aca="false">SUM(D9,J9)</f>
        <v>22100</v>
      </c>
      <c r="O9" s="38" t="s">
        <v>592</v>
      </c>
      <c r="P9" s="38" t="s">
        <v>593</v>
      </c>
      <c r="Q9" s="38" t="n">
        <v>55</v>
      </c>
      <c r="R9" s="39" t="n">
        <v>89520.54</v>
      </c>
      <c r="S9" s="40"/>
      <c r="T9" s="41"/>
      <c r="U9" s="42" t="n">
        <f aca="false">SUM(Q9)</f>
        <v>55</v>
      </c>
      <c r="V9" s="90" t="n">
        <f aca="false">SUM(R9)</f>
        <v>89520.54</v>
      </c>
      <c r="W9" s="35" t="n">
        <f aca="false">SUM(M9,Q9)</f>
        <v>71</v>
      </c>
      <c r="X9" s="44" t="n">
        <f aca="false">SUM(N9,R9)</f>
        <v>111620.54</v>
      </c>
      <c r="Y9" s="45"/>
      <c r="Z9" s="40" t="n">
        <v>321</v>
      </c>
      <c r="AA9" s="40" t="s">
        <v>594</v>
      </c>
    </row>
    <row r="10" customFormat="false" ht="22.35" hidden="false" customHeight="false" outlineLevel="0" collapsed="false">
      <c r="A10" s="100" t="s">
        <v>595</v>
      </c>
      <c r="B10" s="100" t="s"/>
      <c r="C10" s="27" t="n">
        <v>10</v>
      </c>
      <c r="D10" s="28" t="n">
        <v>10650</v>
      </c>
      <c r="E10" s="29"/>
      <c r="F10" s="30"/>
      <c r="G10" s="83" t="s">
        <v>596</v>
      </c>
      <c r="H10" s="32" t="s">
        <v>597</v>
      </c>
      <c r="I10" s="84" t="n">
        <v>9</v>
      </c>
      <c r="J10" s="33" t="n">
        <v>1800</v>
      </c>
      <c r="K10" s="46"/>
      <c r="L10" s="34"/>
      <c r="M10" s="35" t="n">
        <f aca="false">SUM(C10,I10)</f>
        <v>19</v>
      </c>
      <c r="N10" s="36" t="n">
        <f aca="false">SUM(D10,J10)</f>
        <v>12450</v>
      </c>
      <c r="O10" s="38" t="s">
        <v>598</v>
      </c>
      <c r="P10" s="38" t="s">
        <v>599</v>
      </c>
      <c r="Q10" s="38" t="n">
        <v>72</v>
      </c>
      <c r="R10" s="39" t="n">
        <v>166386.07</v>
      </c>
      <c r="S10" s="40"/>
      <c r="T10" s="41"/>
      <c r="U10" s="42" t="n">
        <f aca="false">SUM(Q10)</f>
        <v>72</v>
      </c>
      <c r="V10" s="90" t="n">
        <f aca="false">SUM(R10)</f>
        <v>166386.07</v>
      </c>
      <c r="W10" s="35" t="n">
        <f aca="false">SUM(M10,Q10)</f>
        <v>91</v>
      </c>
      <c r="X10" s="44" t="n">
        <f aca="false">SUM(N10,R10)</f>
        <v>178836.07</v>
      </c>
      <c r="Y10" s="45"/>
      <c r="Z10" s="40" t="n">
        <v>326</v>
      </c>
      <c r="AA10" s="40" t="s">
        <v>600</v>
      </c>
    </row>
    <row r="11" customFormat="false" ht="22.35" hidden="false" customHeight="false" outlineLevel="0" collapsed="false">
      <c r="A11" s="100" t="s">
        <v>600</v>
      </c>
      <c r="B11" s="100" t="s"/>
      <c r="C11" s="27" t="n">
        <v>11</v>
      </c>
      <c r="D11" s="28" t="n">
        <v>26750</v>
      </c>
      <c r="E11" s="29"/>
      <c r="F11" s="30"/>
      <c r="G11" s="83" t="s">
        <v>601</v>
      </c>
      <c r="H11" s="32" t="s">
        <v>602</v>
      </c>
      <c r="I11" s="84" t="n">
        <v>3</v>
      </c>
      <c r="J11" s="33" t="n">
        <v>3300</v>
      </c>
      <c r="K11" s="46"/>
      <c r="L11" s="34"/>
      <c r="M11" s="35" t="n">
        <f aca="false">SUM(C11,I11)</f>
        <v>14</v>
      </c>
      <c r="N11" s="36" t="n">
        <f aca="false">SUM(D11,J11)</f>
        <v>30050</v>
      </c>
      <c r="O11" s="38" t="s">
        <v>603</v>
      </c>
      <c r="P11" s="38" t="s">
        <v>604</v>
      </c>
      <c r="Q11" s="38" t="n">
        <v>52</v>
      </c>
      <c r="R11" s="39" t="n">
        <v>183209.37</v>
      </c>
      <c r="S11" s="40"/>
      <c r="T11" s="41"/>
      <c r="U11" s="42" t="n">
        <f aca="false">SUM(Q11)</f>
        <v>52</v>
      </c>
      <c r="V11" s="90" t="n">
        <f aca="false">SUM(R11)</f>
        <v>183209.37</v>
      </c>
      <c r="W11" s="35" t="n">
        <f aca="false">SUM(M11,Q11)</f>
        <v>66</v>
      </c>
      <c r="X11" s="44" t="n">
        <f aca="false">SUM(N11,R11)</f>
        <v>213259.37</v>
      </c>
      <c r="Y11" s="45"/>
      <c r="Z11" s="40" t="n">
        <v>335</v>
      </c>
      <c r="AA11" s="40" t="s">
        <v>605</v>
      </c>
    </row>
    <row r="12" customFormat="false" ht="22.35" hidden="false" customHeight="false" outlineLevel="0" collapsed="false">
      <c r="A12" s="100" t="s">
        <v>605</v>
      </c>
      <c r="B12" s="100" t="s"/>
      <c r="C12" s="27" t="n">
        <v>19</v>
      </c>
      <c r="D12" s="28" t="n">
        <v>29800</v>
      </c>
      <c r="E12" s="29"/>
      <c r="F12" s="30"/>
      <c r="G12" s="83" t="s">
        <v>606</v>
      </c>
      <c r="H12" s="32" t="s">
        <v>607</v>
      </c>
      <c r="I12" s="84" t="n">
        <v>2</v>
      </c>
      <c r="J12" s="33" t="n">
        <v>400</v>
      </c>
      <c r="K12" s="46"/>
      <c r="L12" s="34"/>
      <c r="M12" s="35" t="n">
        <f aca="false">SUM(C12,I12)</f>
        <v>21</v>
      </c>
      <c r="N12" s="36" t="n">
        <f aca="false">SUM(D12,J12)</f>
        <v>30200</v>
      </c>
      <c r="O12" s="38" t="s">
        <v>608</v>
      </c>
      <c r="P12" s="38" t="s">
        <v>609</v>
      </c>
      <c r="Q12" s="38" t="n">
        <v>58</v>
      </c>
      <c r="R12" s="39" t="n">
        <v>159794.61</v>
      </c>
      <c r="S12" s="40"/>
      <c r="T12" s="41"/>
      <c r="U12" s="42" t="n">
        <f aca="false">SUM(Q12)</f>
        <v>58</v>
      </c>
      <c r="V12" s="90" t="n">
        <f aca="false">SUM(R12)</f>
        <v>159794.61</v>
      </c>
      <c r="W12" s="35" t="n">
        <f aca="false">SUM(M12,Q12)</f>
        <v>79</v>
      </c>
      <c r="X12" s="44" t="n">
        <f aca="false">SUM(N12,R12)</f>
        <v>189994.61</v>
      </c>
      <c r="Y12" s="45"/>
      <c r="Z12" s="40" t="n">
        <v>342</v>
      </c>
      <c r="AA12" s="40" t="s">
        <v>610</v>
      </c>
    </row>
    <row r="13" customFormat="false" ht="22.35" hidden="false" customHeight="false" outlineLevel="0" collapsed="false">
      <c r="A13" s="100" t="s">
        <v>610</v>
      </c>
      <c r="B13" s="100" t="s"/>
      <c r="C13" s="27" t="n">
        <v>5</v>
      </c>
      <c r="D13" s="28" t="n">
        <v>8800</v>
      </c>
      <c r="E13" s="29"/>
      <c r="F13" s="30"/>
      <c r="G13" s="83" t="s">
        <v>611</v>
      </c>
      <c r="H13" s="32" t="s">
        <v>612</v>
      </c>
      <c r="I13" s="84" t="n">
        <v>6</v>
      </c>
      <c r="J13" s="33" t="n">
        <v>2400</v>
      </c>
      <c r="K13" s="46"/>
      <c r="L13" s="34"/>
      <c r="M13" s="35" t="n">
        <f aca="false">SUM(C13,I13)</f>
        <v>11</v>
      </c>
      <c r="N13" s="36" t="n">
        <f aca="false">SUM(D13,J13)</f>
        <v>11200</v>
      </c>
      <c r="O13" s="38" t="s">
        <v>613</v>
      </c>
      <c r="P13" s="38" t="s">
        <v>614</v>
      </c>
      <c r="Q13" s="38" t="n">
        <v>54</v>
      </c>
      <c r="R13" s="39" t="n">
        <v>134123.15</v>
      </c>
      <c r="S13" s="40"/>
      <c r="T13" s="41"/>
      <c r="U13" s="42" t="n">
        <f aca="false">SUM(Q13)</f>
        <v>54</v>
      </c>
      <c r="V13" s="90" t="n">
        <f aca="false">SUM(R13)</f>
        <v>134123.15</v>
      </c>
      <c r="W13" s="35" t="n">
        <f aca="false">SUM(M13,Q13)</f>
        <v>65</v>
      </c>
      <c r="X13" s="44" t="n">
        <f aca="false">SUM(N13,R13)</f>
        <v>145323.15</v>
      </c>
      <c r="Y13" s="45"/>
      <c r="Z13" s="40" t="n">
        <v>347</v>
      </c>
      <c r="AA13" s="40" t="s">
        <v>615</v>
      </c>
    </row>
    <row r="14" customFormat="false" ht="22.35" hidden="false" customHeight="false" outlineLevel="0" collapsed="false">
      <c r="A14" s="100" t="s">
        <v>615</v>
      </c>
      <c r="B14" s="100" t="s"/>
      <c r="C14" s="27" t="n">
        <v>23</v>
      </c>
      <c r="D14" s="28" t="n">
        <v>30250</v>
      </c>
      <c r="E14" s="29"/>
      <c r="F14" s="30"/>
      <c r="G14" s="83" t="s">
        <v>616</v>
      </c>
      <c r="H14" s="32" t="s">
        <v>617</v>
      </c>
      <c r="I14" s="84" t="n">
        <v>5</v>
      </c>
      <c r="J14" s="33" t="n">
        <v>1600</v>
      </c>
      <c r="K14" s="46"/>
      <c r="L14" s="34"/>
      <c r="M14" s="35" t="n">
        <f aca="false">SUM(C14,I14)</f>
        <v>28</v>
      </c>
      <c r="N14" s="36" t="n">
        <f aca="false">SUM(D14,J14)</f>
        <v>31850</v>
      </c>
      <c r="O14" s="38" t="s">
        <v>618</v>
      </c>
      <c r="P14" s="38" t="s">
        <v>619</v>
      </c>
      <c r="Q14" s="38" t="n">
        <v>54</v>
      </c>
      <c r="R14" s="39" t="n">
        <v>80697.98</v>
      </c>
      <c r="S14" s="40"/>
      <c r="T14" s="41"/>
      <c r="U14" s="42" t="n">
        <f aca="false">SUM(Q14)</f>
        <v>54</v>
      </c>
      <c r="V14" s="90" t="n">
        <f aca="false">SUM(R14)</f>
        <v>80697.98</v>
      </c>
      <c r="W14" s="35" t="n">
        <f aca="false">SUM(M14,Q14)</f>
        <v>82</v>
      </c>
      <c r="X14" s="44" t="n">
        <f aca="false">SUM(N14,R14)</f>
        <v>112547.98</v>
      </c>
      <c r="Y14" s="45"/>
      <c r="Z14" s="40" t="n">
        <v>352</v>
      </c>
      <c r="AA14" s="40" t="s">
        <v>620</v>
      </c>
    </row>
    <row r="15" customFormat="false" ht="22.35" hidden="false" customHeight="false" outlineLevel="0" collapsed="false">
      <c r="A15" s="100" t="s">
        <v>621</v>
      </c>
      <c r="B15" s="100" t="s"/>
      <c r="C15" s="27" t="n">
        <v>27</v>
      </c>
      <c r="D15" s="28" t="n">
        <v>38600</v>
      </c>
      <c r="E15" s="29"/>
      <c r="F15" s="30"/>
      <c r="G15" s="83" t="s">
        <v>622</v>
      </c>
      <c r="H15" s="32" t="s">
        <v>623</v>
      </c>
      <c r="I15" s="84" t="n">
        <v>10</v>
      </c>
      <c r="J15" s="33" t="n">
        <v>5000</v>
      </c>
      <c r="K15" s="46"/>
      <c r="L15" s="34"/>
      <c r="M15" s="35" t="n">
        <f aca="false">SUM(C15,I15)</f>
        <v>37</v>
      </c>
      <c r="N15" s="36" t="n">
        <f aca="false">SUM(D15,J15)</f>
        <v>43600</v>
      </c>
      <c r="O15" s="38" t="s">
        <v>624</v>
      </c>
      <c r="P15" s="38" t="s">
        <v>625</v>
      </c>
      <c r="Q15" s="38" t="n">
        <v>49</v>
      </c>
      <c r="R15" s="39" t="n">
        <v>70986.78</v>
      </c>
      <c r="S15" s="40"/>
      <c r="T15" s="41"/>
      <c r="U15" s="42" t="n">
        <f aca="false">SUM(Q15)</f>
        <v>49</v>
      </c>
      <c r="V15" s="90" t="n">
        <f aca="false">SUM(R15)</f>
        <v>70986.78</v>
      </c>
      <c r="W15" s="35" t="n">
        <f aca="false">SUM(M15,Q15)</f>
        <v>86</v>
      </c>
      <c r="X15" s="44" t="n">
        <f aca="false">SUM(N15,R15)</f>
        <v>114586.78</v>
      </c>
      <c r="Y15" s="45"/>
      <c r="Z15" s="40" t="n">
        <v>358</v>
      </c>
      <c r="AA15" s="40" t="s">
        <v>626</v>
      </c>
    </row>
    <row r="16" customFormat="false" ht="22.35" hidden="false" customHeight="false" outlineLevel="0" collapsed="false">
      <c r="A16" s="100" t="s">
        <v>626</v>
      </c>
      <c r="B16" s="100" t="s"/>
      <c r="C16" s="27" t="n">
        <v>12</v>
      </c>
      <c r="D16" s="28" t="n">
        <v>28200</v>
      </c>
      <c r="E16" s="29"/>
      <c r="F16" s="30"/>
      <c r="G16" s="83" t="s">
        <v>627</v>
      </c>
      <c r="H16" s="46" t="s">
        <v>38</v>
      </c>
      <c r="I16" s="84" t="n">
        <v>1</v>
      </c>
      <c r="J16" s="33" t="n">
        <v>500</v>
      </c>
      <c r="K16" s="46"/>
      <c r="L16" s="34"/>
      <c r="M16" s="35" t="n">
        <f aca="false">SUM(C16,I16)</f>
        <v>13</v>
      </c>
      <c r="N16" s="36" t="n">
        <f aca="false">SUM(D16,J16)</f>
        <v>28700</v>
      </c>
      <c r="O16" s="38" t="s">
        <v>628</v>
      </c>
      <c r="P16" s="38" t="s">
        <v>629</v>
      </c>
      <c r="Q16" s="38" t="n">
        <v>43</v>
      </c>
      <c r="R16" s="39" t="n">
        <v>58249.81</v>
      </c>
      <c r="S16" s="40"/>
      <c r="T16" s="41"/>
      <c r="U16" s="42" t="n">
        <f aca="false">SUM(Q16)</f>
        <v>43</v>
      </c>
      <c r="V16" s="90" t="n">
        <f aca="false">SUM(R16)</f>
        <v>58249.81</v>
      </c>
      <c r="W16" s="35" t="n">
        <f aca="false">SUM(M16,Q16)</f>
        <v>56</v>
      </c>
      <c r="X16" s="44" t="n">
        <f aca="false">SUM(N16,R16)</f>
        <v>86949.81</v>
      </c>
      <c r="Y16" s="45"/>
      <c r="Z16" s="40" t="n">
        <v>367</v>
      </c>
      <c r="AA16" s="40" t="s">
        <v>630</v>
      </c>
    </row>
    <row r="17" customFormat="false" ht="22.35" hidden="false" customHeight="false" outlineLevel="0" collapsed="false">
      <c r="A17" s="100" t="s">
        <v>630</v>
      </c>
      <c r="B17" s="100" t="s"/>
      <c r="C17" s="27" t="n">
        <v>3</v>
      </c>
      <c r="D17" s="28" t="n">
        <v>4200</v>
      </c>
      <c r="E17" s="29"/>
      <c r="F17" s="30"/>
      <c r="G17" s="83" t="s">
        <v>631</v>
      </c>
      <c r="H17" s="32" t="s">
        <v>632</v>
      </c>
      <c r="I17" s="84" t="n">
        <v>26</v>
      </c>
      <c r="J17" s="33" t="n">
        <v>5750</v>
      </c>
      <c r="K17" s="46"/>
      <c r="L17" s="34"/>
      <c r="M17" s="35" t="n">
        <f aca="false">SUM(C17,I17)</f>
        <v>29</v>
      </c>
      <c r="N17" s="36" t="n">
        <f aca="false">SUM(D17,J17)</f>
        <v>9950</v>
      </c>
      <c r="O17" s="38" t="s">
        <v>633</v>
      </c>
      <c r="P17" s="38" t="s">
        <v>634</v>
      </c>
      <c r="Q17" s="38" t="n">
        <v>39</v>
      </c>
      <c r="R17" s="39" t="n">
        <v>61344.35</v>
      </c>
      <c r="S17" s="40"/>
      <c r="T17" s="41"/>
      <c r="U17" s="42" t="n">
        <f aca="false">SUM(Q17)</f>
        <v>39</v>
      </c>
      <c r="V17" s="90" t="n">
        <f aca="false">SUM(R17)</f>
        <v>61344.35</v>
      </c>
      <c r="W17" s="35" t="n">
        <f aca="false">SUM(M17,Q17)</f>
        <v>68</v>
      </c>
      <c r="X17" s="44" t="n">
        <f aca="false">SUM(N17,R17)</f>
        <v>71294.35</v>
      </c>
      <c r="Y17" s="45"/>
      <c r="Z17" s="40" t="n">
        <v>375</v>
      </c>
      <c r="AA17" s="40" t="s">
        <v>635</v>
      </c>
    </row>
    <row r="18" customFormat="false" ht="22.35" hidden="false" customHeight="false" outlineLevel="0" collapsed="false">
      <c r="A18" s="100" t="s">
        <v>635</v>
      </c>
      <c r="B18" s="100" t="s"/>
      <c r="C18" s="27" t="n">
        <v>8</v>
      </c>
      <c r="D18" s="28" t="n">
        <v>9930</v>
      </c>
      <c r="E18" s="29"/>
      <c r="F18" s="30"/>
      <c r="G18" s="32" t="s">
        <v>636</v>
      </c>
      <c r="H18" s="32" t="s">
        <v>637</v>
      </c>
      <c r="I18" s="84" t="n">
        <v>10</v>
      </c>
      <c r="J18" s="33" t="n">
        <v>5200</v>
      </c>
      <c r="K18" s="46"/>
      <c r="L18" s="34"/>
      <c r="M18" s="35" t="n">
        <f aca="false">SUM(C18,I18)</f>
        <v>18</v>
      </c>
      <c r="N18" s="36" t="n">
        <f aca="false">SUM(D18,J18)</f>
        <v>15130</v>
      </c>
      <c r="O18" s="38" t="s">
        <v>638</v>
      </c>
      <c r="P18" s="38" t="s">
        <v>639</v>
      </c>
      <c r="Q18" s="38" t="n">
        <v>37</v>
      </c>
      <c r="R18" s="39" t="n">
        <v>58083.76</v>
      </c>
      <c r="S18" s="40"/>
      <c r="T18" s="41"/>
      <c r="U18" s="42" t="n">
        <f aca="false">SUM(Q18)</f>
        <v>37</v>
      </c>
      <c r="V18" s="90" t="n">
        <f aca="false">SUM(R18)</f>
        <v>58083.76</v>
      </c>
      <c r="W18" s="35" t="n">
        <f aca="false">SUM(M18,Q18)</f>
        <v>55</v>
      </c>
      <c r="X18" s="44" t="n">
        <f aca="false">SUM(N18,R18)</f>
        <v>73213.76</v>
      </c>
      <c r="Y18" s="47"/>
      <c r="Z18" s="40" t="n">
        <v>380</v>
      </c>
      <c r="AA18" s="40" t="s">
        <v>640</v>
      </c>
    </row>
    <row r="19" customFormat="false" ht="22.35" hidden="false" customHeight="false" outlineLevel="0" collapsed="false">
      <c r="A19" s="100" t="s">
        <v>640</v>
      </c>
      <c r="B19" s="100" t="s"/>
      <c r="C19" s="27" t="n">
        <v>3</v>
      </c>
      <c r="D19" s="28" t="n">
        <v>6200</v>
      </c>
      <c r="E19" s="29"/>
      <c r="F19" s="30"/>
      <c r="G19" s="83" t="s">
        <v>641</v>
      </c>
      <c r="H19" s="32" t="s">
        <v>642</v>
      </c>
      <c r="I19" s="84" t="n">
        <v>6</v>
      </c>
      <c r="J19" s="33" t="n">
        <v>2100</v>
      </c>
      <c r="K19" s="46"/>
      <c r="L19" s="34"/>
      <c r="M19" s="35" t="n">
        <f aca="false">SUM(C19,I19)</f>
        <v>9</v>
      </c>
      <c r="N19" s="36" t="n">
        <f aca="false">SUM(D19,J19)</f>
        <v>8300</v>
      </c>
      <c r="O19" s="38" t="s">
        <v>643</v>
      </c>
      <c r="P19" s="38" t="s">
        <v>644</v>
      </c>
      <c r="Q19" s="38" t="n">
        <v>31</v>
      </c>
      <c r="R19" s="39" t="n">
        <v>41919</v>
      </c>
      <c r="S19" s="40"/>
      <c r="T19" s="41"/>
      <c r="U19" s="42" t="n">
        <f aca="false">SUM(Q19)</f>
        <v>31</v>
      </c>
      <c r="V19" s="90" t="n">
        <f aca="false">SUM(R19)</f>
        <v>41919</v>
      </c>
      <c r="W19" s="35" t="n">
        <f aca="false">SUM(M19,Q19)</f>
        <v>40</v>
      </c>
      <c r="X19" s="44" t="n">
        <f aca="false">SUM(N19,R19)</f>
        <v>50219</v>
      </c>
      <c r="Y19" s="47"/>
      <c r="Z19" s="40" t="n">
        <v>386</v>
      </c>
      <c r="AA19" s="40" t="s">
        <v>645</v>
      </c>
    </row>
    <row r="20" customFormat="false" ht="22.35" hidden="false" customHeight="false" outlineLevel="0" collapsed="false">
      <c r="A20" s="100" t="s">
        <v>646</v>
      </c>
      <c r="B20" s="100" t="s"/>
      <c r="C20" s="27" t="n">
        <v>8</v>
      </c>
      <c r="D20" s="28" t="n">
        <v>9550</v>
      </c>
      <c r="E20" s="29"/>
      <c r="F20" s="30"/>
      <c r="G20" s="85" t="s">
        <v>38</v>
      </c>
      <c r="H20" s="46" t="s">
        <v>38</v>
      </c>
      <c r="I20" s="84" t="s">
        <v>38</v>
      </c>
      <c r="J20" s="33" t="s">
        <v>38</v>
      </c>
      <c r="K20" s="46"/>
      <c r="L20" s="34"/>
      <c r="M20" s="35" t="n">
        <f aca="false">SUM(C20,I20)</f>
        <v>8</v>
      </c>
      <c r="N20" s="36" t="n">
        <f aca="false">SUM(D20,J20)</f>
        <v>9550</v>
      </c>
      <c r="O20" s="38" t="s">
        <v>647</v>
      </c>
      <c r="P20" s="38" t="s">
        <v>648</v>
      </c>
      <c r="Q20" s="38" t="n">
        <v>45</v>
      </c>
      <c r="R20" s="39" t="n">
        <v>78555.62</v>
      </c>
      <c r="S20" s="40"/>
      <c r="T20" s="41"/>
      <c r="U20" s="42" t="n">
        <f aca="false">SUM(Q20)</f>
        <v>45</v>
      </c>
      <c r="V20" s="90" t="n">
        <f aca="false">SUM(R20)</f>
        <v>78555.62</v>
      </c>
      <c r="W20" s="35" t="n">
        <f aca="false">SUM(M20,Q20)</f>
        <v>53</v>
      </c>
      <c r="X20" s="44" t="n">
        <f aca="false">SUM(N20,R20)</f>
        <v>88105.62</v>
      </c>
      <c r="Y20" s="45"/>
      <c r="Z20" s="40" t="n">
        <v>394</v>
      </c>
      <c r="AA20" s="40" t="s">
        <v>649</v>
      </c>
    </row>
    <row r="21" customFormat="false" ht="22.35" hidden="false" customHeight="false" outlineLevel="0" collapsed="false">
      <c r="A21" s="100" t="s">
        <v>649</v>
      </c>
      <c r="B21" s="100" t="s"/>
      <c r="C21" s="27" t="s">
        <v>38</v>
      </c>
      <c r="D21" s="28" t="s">
        <v>38</v>
      </c>
      <c r="E21" s="29"/>
      <c r="F21" s="30"/>
      <c r="G21" s="83" t="s">
        <v>650</v>
      </c>
      <c r="H21" s="32" t="s">
        <v>651</v>
      </c>
      <c r="I21" s="84" t="n">
        <v>2</v>
      </c>
      <c r="J21" s="33" t="n">
        <v>1720</v>
      </c>
      <c r="K21" s="46"/>
      <c r="L21" s="34"/>
      <c r="M21" s="35" t="n">
        <f aca="false">SUM(C21,I21)</f>
        <v>2</v>
      </c>
      <c r="N21" s="36" t="n">
        <f aca="false">SUM(D21,J21)</f>
        <v>1720</v>
      </c>
      <c r="O21" s="38" t="s">
        <v>652</v>
      </c>
      <c r="P21" s="38" t="s">
        <v>653</v>
      </c>
      <c r="Q21" s="38" t="n">
        <v>49</v>
      </c>
      <c r="R21" s="39" t="n">
        <v>137743.2</v>
      </c>
      <c r="S21" s="40"/>
      <c r="T21" s="41"/>
      <c r="U21" s="42" t="n">
        <f aca="false">SUM(Q21)</f>
        <v>49</v>
      </c>
      <c r="V21" s="90" t="n">
        <f aca="false">SUM(R21)</f>
        <v>137743.2</v>
      </c>
      <c r="W21" s="35" t="n">
        <f aca="false">SUM(M21,Q21)</f>
        <v>51</v>
      </c>
      <c r="X21" s="44" t="n">
        <f aca="false">SUM(N21,R21)</f>
        <v>139463.2</v>
      </c>
      <c r="Y21" s="45"/>
      <c r="Z21" s="40" t="n">
        <v>399</v>
      </c>
      <c r="AA21" s="40" t="s">
        <v>654</v>
      </c>
    </row>
    <row r="22" customFormat="false" ht="22.35" hidden="false" customHeight="false" outlineLevel="0" collapsed="false">
      <c r="A22" s="100" t="s">
        <v>654</v>
      </c>
      <c r="B22" s="100" t="s"/>
      <c r="C22" s="27" t="n">
        <v>16</v>
      </c>
      <c r="D22" s="28" t="n">
        <v>27850</v>
      </c>
      <c r="E22" s="29"/>
      <c r="F22" s="30"/>
      <c r="G22" s="83" t="s">
        <v>655</v>
      </c>
      <c r="H22" s="32" t="s">
        <v>656</v>
      </c>
      <c r="I22" s="84" t="n">
        <v>2</v>
      </c>
      <c r="J22" s="33" t="n">
        <v>1100</v>
      </c>
      <c r="K22" s="46"/>
      <c r="L22" s="34"/>
      <c r="M22" s="35" t="n">
        <f aca="false">SUM(C22,I22)</f>
        <v>18</v>
      </c>
      <c r="N22" s="36" t="n">
        <f aca="false">SUM(D22,J22)</f>
        <v>28950</v>
      </c>
      <c r="O22" s="38" t="s">
        <v>657</v>
      </c>
      <c r="P22" s="38" t="s">
        <v>658</v>
      </c>
      <c r="Q22" s="38" t="n">
        <v>38</v>
      </c>
      <c r="R22" s="39" t="n">
        <v>84834.66</v>
      </c>
      <c r="S22" s="40"/>
      <c r="T22" s="41"/>
      <c r="U22" s="42" t="n">
        <f aca="false">SUM(Q22)</f>
        <v>38</v>
      </c>
      <c r="V22" s="90" t="n">
        <f aca="false">SUM(R22)</f>
        <v>84834.66</v>
      </c>
      <c r="W22" s="35" t="n">
        <f aca="false">SUM(M22,Q22)</f>
        <v>56</v>
      </c>
      <c r="X22" s="44" t="n">
        <f aca="false">SUM(N22,R22)</f>
        <v>113784.66</v>
      </c>
      <c r="Y22" s="45"/>
      <c r="Z22" s="40" t="n">
        <v>404</v>
      </c>
      <c r="AA22" s="40" t="s">
        <v>659</v>
      </c>
    </row>
    <row r="23" customFormat="false" ht="22.35" hidden="false" customHeight="false" outlineLevel="0" collapsed="false">
      <c r="A23" s="100" t="s">
        <v>659</v>
      </c>
      <c r="B23" s="100" t="s"/>
      <c r="C23" s="27" t="n">
        <v>7</v>
      </c>
      <c r="D23" s="28" t="n">
        <v>5150</v>
      </c>
      <c r="E23" s="29"/>
      <c r="F23" s="30"/>
      <c r="G23" s="83" t="s">
        <v>660</v>
      </c>
      <c r="H23" s="32" t="s">
        <v>661</v>
      </c>
      <c r="I23" s="84" t="n">
        <v>6</v>
      </c>
      <c r="J23" s="33" t="n">
        <v>2600</v>
      </c>
      <c r="K23" s="46"/>
      <c r="L23" s="34"/>
      <c r="M23" s="35" t="n">
        <f aca="false">SUM(C23,I23)</f>
        <v>13</v>
      </c>
      <c r="N23" s="36" t="n">
        <f aca="false">SUM(D23,J23)</f>
        <v>7750</v>
      </c>
      <c r="O23" s="37" t="s">
        <v>662</v>
      </c>
      <c r="P23" s="38" t="s">
        <v>663</v>
      </c>
      <c r="Q23" s="38" t="n">
        <v>48</v>
      </c>
      <c r="R23" s="39" t="n">
        <v>95244.12</v>
      </c>
      <c r="S23" s="40"/>
      <c r="T23" s="41"/>
      <c r="U23" s="42" t="n">
        <f aca="false">SUM(Q23)</f>
        <v>48</v>
      </c>
      <c r="V23" s="90" t="n">
        <f aca="false">SUM(R23)</f>
        <v>95244.12</v>
      </c>
      <c r="W23" s="35" t="n">
        <f aca="false">SUM(M23,Q23)</f>
        <v>61</v>
      </c>
      <c r="X23" s="44" t="n">
        <f aca="false">SUM(N23,R23)</f>
        <v>102994.12</v>
      </c>
      <c r="Y23" s="45"/>
      <c r="Z23" s="40" t="n">
        <v>410</v>
      </c>
      <c r="AA23" s="40" t="s">
        <v>664</v>
      </c>
    </row>
    <row r="24" customFormat="false" ht="22.35" hidden="false" customHeight="false" outlineLevel="0" collapsed="false">
      <c r="A24" s="100" t="s">
        <v>664</v>
      </c>
      <c r="B24" s="100" t="s"/>
      <c r="C24" s="49" t="n">
        <v>3</v>
      </c>
      <c r="D24" s="50" t="n">
        <v>1950</v>
      </c>
      <c r="E24" s="51"/>
      <c r="F24" s="52"/>
      <c r="G24" s="87" t="s">
        <v>665</v>
      </c>
      <c r="H24" s="32" t="s">
        <v>666</v>
      </c>
      <c r="I24" s="54" t="n">
        <v>7</v>
      </c>
      <c r="J24" s="56" t="n">
        <v>6200</v>
      </c>
      <c r="K24" s="55"/>
      <c r="L24" s="57"/>
      <c r="M24" s="35" t="n">
        <f aca="false">SUM(C24,I24)</f>
        <v>10</v>
      </c>
      <c r="N24" s="36" t="n">
        <f aca="false">SUM(D24,J24)</f>
        <v>8150</v>
      </c>
      <c r="O24" s="88" t="s">
        <v>667</v>
      </c>
      <c r="P24" s="38" t="s">
        <v>668</v>
      </c>
      <c r="Q24" s="60" t="n">
        <v>41</v>
      </c>
      <c r="R24" s="61" t="n">
        <v>63017.14</v>
      </c>
      <c r="S24" s="62"/>
      <c r="T24" s="63"/>
      <c r="U24" s="42"/>
      <c r="V24" s="42"/>
      <c r="W24" s="35" t="n">
        <f aca="false">SUM(M24,Q24)</f>
        <v>51</v>
      </c>
      <c r="X24" s="44" t="n">
        <f aca="false">SUM(N24,R24)</f>
        <v>71167.14</v>
      </c>
      <c r="Y24" s="92"/>
      <c r="Z24" s="40" t="n">
        <v>417</v>
      </c>
      <c r="AA24" s="40" t="s">
        <v>669</v>
      </c>
    </row>
    <row r="25" customFormat="false" ht="22.35" hidden="false" customHeight="false" outlineLevel="0" collapsed="false">
      <c r="A25" s="100" t="s">
        <v>670</v>
      </c>
      <c r="B25" s="100" t="s"/>
      <c r="C25" s="49" t="n">
        <v>9</v>
      </c>
      <c r="D25" s="50" t="n">
        <v>26700</v>
      </c>
      <c r="E25" s="51"/>
      <c r="F25" s="52"/>
      <c r="G25" s="87" t="s">
        <v>671</v>
      </c>
      <c r="H25" s="32" t="s">
        <v>672</v>
      </c>
      <c r="I25" s="54" t="n">
        <v>24</v>
      </c>
      <c r="J25" s="56" t="n">
        <v>6200</v>
      </c>
      <c r="K25" s="55"/>
      <c r="L25" s="57"/>
      <c r="M25" s="35" t="n">
        <f aca="false">SUM(C25,I25)</f>
        <v>33</v>
      </c>
      <c r="N25" s="36" t="n">
        <f aca="false">SUM(D25,J25)</f>
        <v>32900</v>
      </c>
      <c r="O25" s="88" t="s">
        <v>673</v>
      </c>
      <c r="P25" s="38" t="s">
        <v>674</v>
      </c>
      <c r="Q25" s="60" t="n">
        <v>54</v>
      </c>
      <c r="R25" s="61" t="n">
        <v>120302.23</v>
      </c>
      <c r="S25" s="62"/>
      <c r="T25" s="63"/>
      <c r="U25" s="42"/>
      <c r="V25" s="42"/>
      <c r="W25" s="35" t="n">
        <f aca="false">SUM(M25,Q25)</f>
        <v>87</v>
      </c>
      <c r="X25" s="44" t="n">
        <f aca="false">SUM(N25,R25)</f>
        <v>153202.23</v>
      </c>
      <c r="Y25" s="92"/>
      <c r="Z25" s="40" t="n">
        <v>424</v>
      </c>
      <c r="AA25" s="40" t="s">
        <v>573</v>
      </c>
    </row>
    <row r="26" customFormat="false" ht="22.35" hidden="false" customHeight="false" outlineLevel="0" collapsed="false">
      <c r="A26" s="100" t="s">
        <v>573</v>
      </c>
      <c r="B26" s="100" t="s"/>
      <c r="C26" s="49" t="n">
        <v>9</v>
      </c>
      <c r="D26" s="50" t="n">
        <v>17000</v>
      </c>
      <c r="E26" s="51"/>
      <c r="F26" s="52"/>
      <c r="G26" s="87" t="s">
        <v>675</v>
      </c>
      <c r="H26" s="46" t="s">
        <v>38</v>
      </c>
      <c r="I26" s="54" t="n">
        <v>1</v>
      </c>
      <c r="J26" s="56" t="n">
        <v>200</v>
      </c>
      <c r="K26" s="55"/>
      <c r="L26" s="57"/>
      <c r="M26" s="35" t="n">
        <f aca="false">SUM(C26,I26)</f>
        <v>10</v>
      </c>
      <c r="N26" s="36" t="n">
        <f aca="false">SUM(D26,J26)</f>
        <v>17200</v>
      </c>
      <c r="O26" s="88" t="s">
        <v>676</v>
      </c>
      <c r="P26" s="38" t="s">
        <v>677</v>
      </c>
      <c r="Q26" s="60" t="n">
        <v>39</v>
      </c>
      <c r="R26" s="61" t="n">
        <v>63105.75</v>
      </c>
      <c r="S26" s="62"/>
      <c r="T26" s="63"/>
      <c r="U26" s="42"/>
      <c r="V26" s="42"/>
      <c r="W26" s="35" t="n">
        <f aca="false">SUM(M26,Q26)</f>
        <v>49</v>
      </c>
      <c r="X26" s="44" t="n">
        <f aca="false">SUM(N26,R26)</f>
        <v>80305.75</v>
      </c>
      <c r="Y26" s="92"/>
      <c r="Z26" s="40" t="n">
        <v>431</v>
      </c>
      <c r="AA26" s="40" t="s">
        <v>678</v>
      </c>
    </row>
    <row r="27" customFormat="false" ht="22.35" hidden="false" customHeight="false" outlineLevel="0" collapsed="false">
      <c r="A27" s="100" t="s">
        <v>678</v>
      </c>
      <c r="B27" s="100" t="s"/>
      <c r="C27" s="49" t="n">
        <v>8</v>
      </c>
      <c r="D27" s="50" t="n">
        <v>10700</v>
      </c>
      <c r="E27" s="51"/>
      <c r="F27" s="52"/>
      <c r="G27" s="87" t="s">
        <v>679</v>
      </c>
      <c r="H27" s="102" t="s">
        <v>38</v>
      </c>
      <c r="I27" s="54" t="n">
        <v>1</v>
      </c>
      <c r="J27" s="56" t="n">
        <v>200</v>
      </c>
      <c r="K27" s="55"/>
      <c r="L27" s="57"/>
      <c r="M27" s="35" t="n">
        <f aca="false">SUM(C27,I27)</f>
        <v>9</v>
      </c>
      <c r="N27" s="36" t="n">
        <f aca="false">SUM(D27,J27)</f>
        <v>10900</v>
      </c>
      <c r="O27" s="88" t="s">
        <v>680</v>
      </c>
      <c r="P27" s="38" t="s">
        <v>681</v>
      </c>
      <c r="Q27" s="60" t="n">
        <v>92</v>
      </c>
      <c r="R27" s="61" t="n">
        <v>173674</v>
      </c>
      <c r="S27" s="62"/>
      <c r="T27" s="63"/>
      <c r="U27" s="42"/>
      <c r="V27" s="42"/>
      <c r="W27" s="35" t="n">
        <f aca="false">SUM(M27,Q27)</f>
        <v>101</v>
      </c>
      <c r="X27" s="44" t="n">
        <f aca="false">SUM(N27,R27)</f>
        <v>184574</v>
      </c>
      <c r="Y27" s="92"/>
      <c r="Z27" s="40" t="n">
        <v>437</v>
      </c>
      <c r="AA27" s="40" t="s">
        <v>682</v>
      </c>
    </row>
    <row r="28" customFormat="false" ht="19.7" hidden="false" customHeight="false" outlineLevel="0" collapsed="false">
      <c r="A28" s="66" t="s">
        <v>122</v>
      </c>
      <c r="B28" s="66" t="s"/>
      <c r="C28" s="67" t="n">
        <f aca="false">SUM(C6:C27)</f>
        <v>250</v>
      </c>
      <c r="D28" s="68" t="n">
        <f aca="false">SUM(D6:D27)</f>
        <v>366300</v>
      </c>
      <c r="E28" s="69" t="n">
        <f aca="false">SUM(E6:E23)</f>
        <v>0</v>
      </c>
      <c r="F28" s="70" t="n">
        <f aca="false">SUM(F6:F23)</f>
        <v>0</v>
      </c>
      <c r="G28" s="71" t="s">
        <v>122</v>
      </c>
      <c r="H28" s="71"/>
      <c r="I28" s="72" t="n">
        <f aca="false">SUM(I6:I27)</f>
        <v>133</v>
      </c>
      <c r="J28" s="68" t="n">
        <f aca="false">SUM(J6:J27)</f>
        <v>53520</v>
      </c>
      <c r="K28" s="69" t="n">
        <f aca="false">SUM(K6:K23)</f>
        <v>0</v>
      </c>
      <c r="L28" s="70"/>
      <c r="M28" s="73" t="n">
        <f aca="false">SUM(M6:M27)</f>
        <v>383</v>
      </c>
      <c r="N28" s="74" t="n">
        <f aca="false">SUM(N6:N27)</f>
        <v>419820</v>
      </c>
      <c r="O28" s="71" t="s">
        <v>122</v>
      </c>
      <c r="P28" s="71"/>
      <c r="Q28" s="75" t="n">
        <f aca="false">SUM(Q6:Q27)</f>
        <v>1709</v>
      </c>
      <c r="R28" s="76" t="n">
        <f aca="false">SUM(R6:R27)</f>
        <v>3840492.65</v>
      </c>
      <c r="S28" s="69" t="n">
        <f aca="false">SUM(S6:S23)</f>
        <v>0</v>
      </c>
      <c r="T28" s="70" t="n">
        <f aca="false">SUM(T6:T23)</f>
        <v>0</v>
      </c>
      <c r="U28" s="93" t="n">
        <f aca="false">SUM(U6:U23)</f>
        <v>1483</v>
      </c>
      <c r="V28" s="94" t="n">
        <f aca="false">SUM(V6:V23)</f>
        <v>3420393.53</v>
      </c>
      <c r="W28" s="73" t="n">
        <f aca="false">SUM(W6:W27)</f>
        <v>2092</v>
      </c>
      <c r="X28" s="79" t="n">
        <f aca="false">SUM(X6:X27)</f>
        <v>4260312.65</v>
      </c>
      <c r="Y28" s="80"/>
      <c r="Z28" s="81"/>
      <c r="AA28" s="81"/>
    </row>
    <row r="29" customFormat="false" ht="15.75" hidden="false" customHeight="false" outlineLevel="0" collapsed="false">
      <c r="A29" s="2"/>
      <c r="B29" s="2"/>
      <c r="C29" s="2"/>
      <c r="D29" s="82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5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5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5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5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3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65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3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65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3"/>
      <c r="R48" s="3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3"/>
      <c r="R49" s="3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C998" s="2"/>
      <c r="D998" s="2"/>
      <c r="E998" s="2"/>
      <c r="F998" s="2"/>
      <c r="G998" s="2"/>
      <c r="H998" s="2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C999" s="2"/>
      <c r="D999" s="2"/>
      <c r="E999" s="2"/>
      <c r="F999" s="2"/>
      <c r="G999" s="2"/>
      <c r="H999" s="2"/>
      <c r="I999" s="3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32">
    <mergeCell ref="A1:AA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A3:AA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G28:H28"/>
    <mergeCell ref="O28:P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>
  <sheetPr filterMode="false">
    <outlinePr summaryBelow="0"/>
    <pageSetUpPr fitToPage="true"/>
  </sheetPr>
  <dimension ref="A1:AA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683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3" t="s">
        <v>11</v>
      </c>
      <c r="D4" s="14" t="s">
        <v>12</v>
      </c>
      <c r="E4" s="15" t="s">
        <v>13</v>
      </c>
      <c r="F4" s="15"/>
      <c r="G4" s="16" t="s">
        <v>14</v>
      </c>
      <c r="H4" s="17" t="s">
        <v>15</v>
      </c>
      <c r="I4" s="18" t="s">
        <v>11</v>
      </c>
      <c r="J4" s="18" t="s">
        <v>12</v>
      </c>
      <c r="K4" s="19" t="s">
        <v>16</v>
      </c>
      <c r="L4" s="19"/>
      <c r="M4" s="20" t="s">
        <v>17</v>
      </c>
      <c r="N4" s="21" t="s">
        <v>18</v>
      </c>
      <c r="O4" s="22" t="s">
        <v>14</v>
      </c>
      <c r="P4" s="23" t="s">
        <v>15</v>
      </c>
      <c r="Q4" s="23" t="s">
        <v>11</v>
      </c>
      <c r="R4" s="23" t="s">
        <v>12</v>
      </c>
      <c r="S4" s="24" t="s">
        <v>13</v>
      </c>
      <c r="T4" s="24"/>
      <c r="U4" s="9" t="s">
        <v>17</v>
      </c>
      <c r="V4" s="25" t="s">
        <v>18</v>
      </c>
      <c r="W4" s="20" t="s">
        <v>17</v>
      </c>
      <c r="X4" s="21" t="s">
        <v>18</v>
      </c>
      <c r="Y4" s="10"/>
      <c r="Z4" s="11"/>
      <c r="AA4" s="11"/>
    </row>
    <row r="5" customFormat="false" ht="19.7" hidden="false" customHeight="false" outlineLevel="0" collapsed="false">
      <c r="A5" s="4"/>
      <c r="B5" s="4"/>
      <c r="C5" s="13"/>
      <c r="D5" s="14"/>
      <c r="E5" s="14" t="s">
        <v>19</v>
      </c>
      <c r="F5" s="15" t="s">
        <v>20</v>
      </c>
      <c r="G5" s="16"/>
      <c r="H5" s="17"/>
      <c r="I5" s="17"/>
      <c r="J5" s="17"/>
      <c r="K5" s="17" t="s">
        <v>19</v>
      </c>
      <c r="L5" s="19" t="s">
        <v>20</v>
      </c>
      <c r="M5" s="20"/>
      <c r="N5" s="21"/>
      <c r="O5" s="22"/>
      <c r="P5" s="23"/>
      <c r="Q5" s="23"/>
      <c r="R5" s="23"/>
      <c r="S5" s="23" t="s">
        <v>11</v>
      </c>
      <c r="T5" s="24" t="s">
        <v>20</v>
      </c>
      <c r="U5" s="9"/>
      <c r="V5" s="25"/>
      <c r="W5" s="20"/>
      <c r="X5" s="21"/>
      <c r="Y5" s="10"/>
      <c r="Z5" s="11"/>
      <c r="AA5" s="11"/>
    </row>
    <row r="6" customFormat="false" ht="22.35" hidden="false" customHeight="false" outlineLevel="0" collapsed="false">
      <c r="A6" s="100" t="s">
        <v>682</v>
      </c>
      <c r="B6" s="100" t="s"/>
      <c r="C6" s="27" t="n">
        <v>3</v>
      </c>
      <c r="D6" s="28" t="n">
        <v>9900</v>
      </c>
      <c r="E6" s="29"/>
      <c r="F6" s="30"/>
      <c r="G6" s="83" t="s">
        <v>684</v>
      </c>
      <c r="H6" s="98" t="s">
        <v>685</v>
      </c>
      <c r="I6" s="84" t="n">
        <v>3</v>
      </c>
      <c r="J6" s="33" t="n">
        <v>1200</v>
      </c>
      <c r="K6" s="46"/>
      <c r="L6" s="34"/>
      <c r="M6" s="35" t="n">
        <f aca="false">SUM(C6,I6)</f>
        <v>6</v>
      </c>
      <c r="N6" s="36" t="n">
        <f aca="false">SUM(D6,J6)</f>
        <v>11100</v>
      </c>
      <c r="O6" s="38" t="s">
        <v>686</v>
      </c>
      <c r="P6" s="38" t="s">
        <v>687</v>
      </c>
      <c r="Q6" s="38" t="n">
        <v>44</v>
      </c>
      <c r="R6" s="39" t="n">
        <v>81599.5</v>
      </c>
      <c r="S6" s="40"/>
      <c r="T6" s="41"/>
      <c r="U6" s="42" t="n">
        <f aca="false">SUM(Q6)</f>
        <v>44</v>
      </c>
      <c r="V6" s="90" t="n">
        <f aca="false">SUM(R6)</f>
        <v>81599.5</v>
      </c>
      <c r="W6" s="35" t="n">
        <f aca="false">SUM(M6,Q6)</f>
        <v>50</v>
      </c>
      <c r="X6" s="44" t="n">
        <f aca="false">SUM(N6,R6)</f>
        <v>92699.5</v>
      </c>
      <c r="Y6" s="45"/>
      <c r="Z6" s="40" t="n">
        <v>444</v>
      </c>
      <c r="AA6" s="40" t="s">
        <v>688</v>
      </c>
    </row>
    <row r="7" customFormat="false" ht="22.35" hidden="false" customHeight="false" outlineLevel="0" collapsed="false">
      <c r="A7" s="100" t="s">
        <v>689</v>
      </c>
      <c r="B7" s="100" t="s"/>
      <c r="C7" s="27" t="n">
        <v>10</v>
      </c>
      <c r="D7" s="28" t="n">
        <v>29380</v>
      </c>
      <c r="E7" s="29"/>
      <c r="F7" s="30"/>
      <c r="G7" s="83" t="s">
        <v>690</v>
      </c>
      <c r="H7" s="32" t="s">
        <v>691</v>
      </c>
      <c r="I7" s="84" t="n">
        <v>4</v>
      </c>
      <c r="J7" s="33" t="n">
        <v>1950</v>
      </c>
      <c r="K7" s="46"/>
      <c r="L7" s="34"/>
      <c r="M7" s="35" t="n">
        <f aca="false">SUM(C7,I7)</f>
        <v>14</v>
      </c>
      <c r="N7" s="36" t="n">
        <f aca="false">SUM(D7,J7)</f>
        <v>31330</v>
      </c>
      <c r="O7" s="38" t="s">
        <v>692</v>
      </c>
      <c r="P7" s="38" t="s">
        <v>693</v>
      </c>
      <c r="Q7" s="38" t="n">
        <v>49</v>
      </c>
      <c r="R7" s="39" t="n">
        <v>79030.9</v>
      </c>
      <c r="S7" s="40"/>
      <c r="T7" s="41"/>
      <c r="U7" s="42" t="n">
        <f aca="false">SUM(Q7)</f>
        <v>49</v>
      </c>
      <c r="V7" s="90" t="n">
        <f aca="false">SUM(R7)</f>
        <v>79030.9</v>
      </c>
      <c r="W7" s="35" t="n">
        <f aca="false">SUM(M7,Q7)</f>
        <v>63</v>
      </c>
      <c r="X7" s="44" t="n">
        <f aca="false">SUM(N7,R7)</f>
        <v>110360.9</v>
      </c>
      <c r="Y7" s="45"/>
      <c r="Z7" s="40" t="n">
        <v>451</v>
      </c>
      <c r="AA7" s="40" t="s">
        <v>694</v>
      </c>
    </row>
    <row r="8" customFormat="false" ht="22.35" hidden="false" customHeight="false" outlineLevel="0" collapsed="false">
      <c r="A8" s="100" t="s">
        <v>695</v>
      </c>
      <c r="B8" s="100" t="s"/>
      <c r="C8" s="27" t="n">
        <v>17</v>
      </c>
      <c r="D8" s="28" t="n">
        <v>29780</v>
      </c>
      <c r="E8" s="29"/>
      <c r="F8" s="30"/>
      <c r="G8" s="83" t="s">
        <v>696</v>
      </c>
      <c r="H8" s="32" t="s">
        <v>697</v>
      </c>
      <c r="I8" s="84" t="n">
        <v>14</v>
      </c>
      <c r="J8" s="33" t="n">
        <v>6300</v>
      </c>
      <c r="K8" s="46"/>
      <c r="L8" s="34"/>
      <c r="M8" s="35" t="n">
        <f aca="false">SUM(C8,I8)</f>
        <v>31</v>
      </c>
      <c r="N8" s="36" t="n">
        <f aca="false">SUM(D8,J8)</f>
        <v>36080</v>
      </c>
      <c r="O8" s="38" t="s">
        <v>698</v>
      </c>
      <c r="P8" s="38" t="s">
        <v>699</v>
      </c>
      <c r="Q8" s="38" t="n">
        <v>58</v>
      </c>
      <c r="R8" s="39" t="n">
        <v>120250.1</v>
      </c>
      <c r="S8" s="40"/>
      <c r="T8" s="41"/>
      <c r="U8" s="42" t="n">
        <f aca="false">SUM(Q8)</f>
        <v>58</v>
      </c>
      <c r="V8" s="90" t="n">
        <f aca="false">SUM(R8)</f>
        <v>120250.1</v>
      </c>
      <c r="W8" s="35" t="n">
        <f aca="false">SUM(M8,Q8)</f>
        <v>89</v>
      </c>
      <c r="X8" s="44" t="n">
        <f aca="false">SUM(N8,R8)</f>
        <v>156330.1</v>
      </c>
      <c r="Y8" s="96"/>
      <c r="Z8" s="40" t="n">
        <v>457</v>
      </c>
      <c r="AA8" s="40" t="s">
        <v>700</v>
      </c>
    </row>
    <row r="9" customFormat="false" ht="22.35" hidden="false" customHeight="false" outlineLevel="0" collapsed="false">
      <c r="A9" s="100" t="s">
        <v>701</v>
      </c>
      <c r="B9" s="100" t="s"/>
      <c r="C9" s="27" t="n">
        <v>7</v>
      </c>
      <c r="D9" s="28" t="n">
        <v>730400</v>
      </c>
      <c r="E9" s="29"/>
      <c r="F9" s="30"/>
      <c r="G9" s="83" t="s">
        <v>702</v>
      </c>
      <c r="H9" s="32" t="s">
        <v>703</v>
      </c>
      <c r="I9" s="84" t="n">
        <v>3</v>
      </c>
      <c r="J9" s="33" t="n">
        <v>1500</v>
      </c>
      <c r="K9" s="46"/>
      <c r="L9" s="34"/>
      <c r="M9" s="35" t="n">
        <f aca="false">SUM(C9,I9)</f>
        <v>10</v>
      </c>
      <c r="N9" s="36" t="n">
        <f aca="false">SUM(D9,J9)</f>
        <v>731900</v>
      </c>
      <c r="O9" s="38" t="s">
        <v>704</v>
      </c>
      <c r="P9" s="38" t="s">
        <v>705</v>
      </c>
      <c r="Q9" s="38" t="n">
        <v>52</v>
      </c>
      <c r="R9" s="39" t="n">
        <v>103869.2</v>
      </c>
      <c r="S9" s="40"/>
      <c r="T9" s="41"/>
      <c r="U9" s="42" t="n">
        <f aca="false">SUM(Q9)</f>
        <v>52</v>
      </c>
      <c r="V9" s="90" t="n">
        <f aca="false">SUM(R9)</f>
        <v>103869.2</v>
      </c>
      <c r="W9" s="35" t="n">
        <f aca="false">SUM(M9,Q9)</f>
        <v>62</v>
      </c>
      <c r="X9" s="44" t="n">
        <f aca="false">SUM(N9,R9)</f>
        <v>835769.2</v>
      </c>
      <c r="Y9" s="45"/>
      <c r="Z9" s="40" t="n">
        <v>463</v>
      </c>
      <c r="AA9" s="40" t="s">
        <v>706</v>
      </c>
    </row>
    <row r="10" customFormat="false" ht="22.35" hidden="false" customHeight="false" outlineLevel="0" collapsed="false">
      <c r="A10" s="100" t="s">
        <v>707</v>
      </c>
      <c r="B10" s="100" t="s"/>
      <c r="C10" s="27" t="n">
        <v>20</v>
      </c>
      <c r="D10" s="28" t="n">
        <v>57840</v>
      </c>
      <c r="E10" s="29"/>
      <c r="F10" s="30"/>
      <c r="G10" s="83" t="s">
        <v>708</v>
      </c>
      <c r="H10" s="32" t="s">
        <v>709</v>
      </c>
      <c r="I10" s="84" t="n">
        <v>8</v>
      </c>
      <c r="J10" s="33" t="n">
        <v>2500</v>
      </c>
      <c r="K10" s="46"/>
      <c r="L10" s="34"/>
      <c r="M10" s="35" t="n">
        <f aca="false">SUM(C10,I10)</f>
        <v>28</v>
      </c>
      <c r="N10" s="36" t="n">
        <f aca="false">SUM(D10,J10)</f>
        <v>60340</v>
      </c>
      <c r="O10" s="38" t="s">
        <v>710</v>
      </c>
      <c r="P10" s="38" t="s">
        <v>711</v>
      </c>
      <c r="Q10" s="38" t="n">
        <v>86</v>
      </c>
      <c r="R10" s="39" t="n">
        <v>181451</v>
      </c>
      <c r="S10" s="40"/>
      <c r="T10" s="41"/>
      <c r="U10" s="42" t="n">
        <f aca="false">SUM(Q10)</f>
        <v>86</v>
      </c>
      <c r="V10" s="90" t="n">
        <f aca="false">SUM(R10)</f>
        <v>181451</v>
      </c>
      <c r="W10" s="35" t="n">
        <f aca="false">SUM(M10,Q10)</f>
        <v>114</v>
      </c>
      <c r="X10" s="44" t="n">
        <f aca="false">SUM(N10,R10)</f>
        <v>241791</v>
      </c>
      <c r="Y10" s="45"/>
      <c r="Z10" s="40" t="n">
        <v>469</v>
      </c>
      <c r="AA10" s="40" t="s">
        <v>712</v>
      </c>
    </row>
    <row r="11" customFormat="false" ht="22.35" hidden="false" customHeight="false" outlineLevel="0" collapsed="false">
      <c r="A11" s="100" t="s">
        <v>713</v>
      </c>
      <c r="B11" s="100" t="s"/>
      <c r="C11" s="27" t="n">
        <v>18</v>
      </c>
      <c r="D11" s="28" t="n">
        <v>185760</v>
      </c>
      <c r="E11" s="29"/>
      <c r="F11" s="30"/>
      <c r="G11" s="83" t="s">
        <v>714</v>
      </c>
      <c r="H11" s="32" t="s">
        <v>715</v>
      </c>
      <c r="I11" s="84" t="n">
        <v>7</v>
      </c>
      <c r="J11" s="33" t="n">
        <v>1700</v>
      </c>
      <c r="K11" s="46"/>
      <c r="L11" s="34"/>
      <c r="M11" s="35" t="n">
        <f aca="false">SUM(C11,I11)</f>
        <v>25</v>
      </c>
      <c r="N11" s="36" t="n">
        <f aca="false">SUM(D11,J11)</f>
        <v>187460</v>
      </c>
      <c r="O11" s="38" t="s">
        <v>716</v>
      </c>
      <c r="P11" s="38" t="s">
        <v>717</v>
      </c>
      <c r="Q11" s="38" t="n">
        <v>61</v>
      </c>
      <c r="R11" s="39" t="n">
        <v>96290.6</v>
      </c>
      <c r="S11" s="40"/>
      <c r="T11" s="41"/>
      <c r="U11" s="42" t="n">
        <f aca="false">SUM(Q11)</f>
        <v>61</v>
      </c>
      <c r="V11" s="90" t="n">
        <f aca="false">SUM(R11)</f>
        <v>96290.6</v>
      </c>
      <c r="W11" s="35" t="n">
        <f aca="false">SUM(M11,Q11)</f>
        <v>86</v>
      </c>
      <c r="X11" s="44" t="n">
        <f aca="false">SUM(N11,R11)</f>
        <v>283750.6</v>
      </c>
      <c r="Y11" s="45"/>
      <c r="Z11" s="40" t="n">
        <v>477</v>
      </c>
      <c r="AA11" s="40" t="s">
        <v>718</v>
      </c>
    </row>
    <row r="12" customFormat="false" ht="22.35" hidden="false" customHeight="false" outlineLevel="0" collapsed="false">
      <c r="A12" s="100" t="s">
        <v>719</v>
      </c>
      <c r="B12" s="100" t="s"/>
      <c r="C12" s="27" t="n">
        <v>23</v>
      </c>
      <c r="D12" s="28" t="n">
        <v>13900</v>
      </c>
      <c r="E12" s="29"/>
      <c r="F12" s="30"/>
      <c r="G12" s="83" t="s">
        <v>720</v>
      </c>
      <c r="H12" s="32" t="s">
        <v>721</v>
      </c>
      <c r="I12" s="84" t="n">
        <v>4</v>
      </c>
      <c r="J12" s="33" t="n">
        <v>1700</v>
      </c>
      <c r="K12" s="46"/>
      <c r="L12" s="34"/>
      <c r="M12" s="35" t="n">
        <f aca="false">SUM(C12,I12)</f>
        <v>27</v>
      </c>
      <c r="N12" s="36" t="n">
        <f aca="false">SUM(D12,J12)</f>
        <v>15600</v>
      </c>
      <c r="O12" s="38" t="s">
        <v>722</v>
      </c>
      <c r="P12" s="38" t="s">
        <v>723</v>
      </c>
      <c r="Q12" s="38" t="n">
        <v>58</v>
      </c>
      <c r="R12" s="39" t="n">
        <v>85959.8</v>
      </c>
      <c r="S12" s="40"/>
      <c r="T12" s="41"/>
      <c r="U12" s="42" t="n">
        <f aca="false">SUM(Q12)</f>
        <v>58</v>
      </c>
      <c r="V12" s="90" t="n">
        <f aca="false">SUM(R12)</f>
        <v>85959.8</v>
      </c>
      <c r="W12" s="35" t="n">
        <f aca="false">SUM(M12,Q12)</f>
        <v>85</v>
      </c>
      <c r="X12" s="44" t="n">
        <f aca="false">SUM(N12,R12)</f>
        <v>101559.8</v>
      </c>
      <c r="Y12" s="45"/>
      <c r="Z12" s="40" t="n">
        <v>484</v>
      </c>
      <c r="AA12" s="40" t="s">
        <v>724</v>
      </c>
    </row>
    <row r="13" customFormat="false" ht="22.35" hidden="false" customHeight="false" outlineLevel="0" collapsed="false">
      <c r="A13" s="100" t="s">
        <v>725</v>
      </c>
      <c r="B13" s="100" t="s"/>
      <c r="C13" s="27" t="n">
        <v>3</v>
      </c>
      <c r="D13" s="28" t="n">
        <v>9340</v>
      </c>
      <c r="E13" s="29"/>
      <c r="F13" s="30"/>
      <c r="G13" s="83" t="s">
        <v>726</v>
      </c>
      <c r="H13" s="46" t="s">
        <v>38</v>
      </c>
      <c r="I13" s="84" t="n">
        <v>1</v>
      </c>
      <c r="J13" s="33" t="n">
        <v>200</v>
      </c>
      <c r="K13" s="46"/>
      <c r="L13" s="34"/>
      <c r="M13" s="35" t="n">
        <f aca="false">SUM(C13,I13)</f>
        <v>4</v>
      </c>
      <c r="N13" s="36" t="n">
        <f aca="false">SUM(D13,J13)</f>
        <v>9540</v>
      </c>
      <c r="O13" s="38" t="s">
        <v>727</v>
      </c>
      <c r="P13" s="38" t="s">
        <v>728</v>
      </c>
      <c r="Q13" s="38" t="n">
        <v>56</v>
      </c>
      <c r="R13" s="39" t="n">
        <v>94731.8</v>
      </c>
      <c r="S13" s="40"/>
      <c r="T13" s="41"/>
      <c r="U13" s="42" t="n">
        <f aca="false">SUM(Q13)</f>
        <v>56</v>
      </c>
      <c r="V13" s="90" t="n">
        <f aca="false">SUM(R13)</f>
        <v>94731.8</v>
      </c>
      <c r="W13" s="35" t="n">
        <f aca="false">SUM(M13,Q13)</f>
        <v>60</v>
      </c>
      <c r="X13" s="44" t="n">
        <f aca="false">SUM(N13,R13)</f>
        <v>104271.8</v>
      </c>
      <c r="Y13" s="45"/>
      <c r="Z13" s="40" t="n">
        <v>490</v>
      </c>
      <c r="AA13" s="40" t="s">
        <v>729</v>
      </c>
    </row>
    <row r="14" customFormat="false" ht="22.35" hidden="false" customHeight="false" outlineLevel="0" collapsed="false">
      <c r="A14" s="100" t="s">
        <v>730</v>
      </c>
      <c r="B14" s="100" t="s"/>
      <c r="C14" s="27" t="n">
        <v>2</v>
      </c>
      <c r="D14" s="28" t="n">
        <v>4650</v>
      </c>
      <c r="E14" s="29"/>
      <c r="F14" s="30"/>
      <c r="G14" s="83" t="s">
        <v>731</v>
      </c>
      <c r="H14" s="32" t="s">
        <v>732</v>
      </c>
      <c r="I14" s="84" t="n">
        <v>4</v>
      </c>
      <c r="J14" s="33" t="n">
        <v>1400</v>
      </c>
      <c r="K14" s="46"/>
      <c r="L14" s="34"/>
      <c r="M14" s="35" t="n">
        <f aca="false">SUM(C14,I14)</f>
        <v>6</v>
      </c>
      <c r="N14" s="36" t="n">
        <f aca="false">SUM(D14,J14)</f>
        <v>6050</v>
      </c>
      <c r="O14" s="38" t="s">
        <v>733</v>
      </c>
      <c r="P14" s="38" t="s">
        <v>734</v>
      </c>
      <c r="Q14" s="38" t="n">
        <v>86</v>
      </c>
      <c r="R14" s="39" t="n">
        <v>162441.6</v>
      </c>
      <c r="S14" s="40"/>
      <c r="T14" s="41"/>
      <c r="U14" s="42" t="n">
        <f aca="false">SUM(Q14)</f>
        <v>86</v>
      </c>
      <c r="V14" s="90" t="n">
        <f aca="false">SUM(R14)</f>
        <v>162441.6</v>
      </c>
      <c r="W14" s="35" t="n">
        <f aca="false">SUM(M14,Q14)</f>
        <v>92</v>
      </c>
      <c r="X14" s="44" t="n">
        <f aca="false">SUM(N14,R14)</f>
        <v>168491.6</v>
      </c>
      <c r="Y14" s="45"/>
      <c r="Z14" s="40" t="n">
        <v>498</v>
      </c>
      <c r="AA14" s="40" t="s">
        <v>735</v>
      </c>
    </row>
    <row r="15" customFormat="false" ht="22.35" hidden="false" customHeight="false" outlineLevel="0" collapsed="false">
      <c r="A15" s="100" t="s">
        <v>736</v>
      </c>
      <c r="B15" s="100" t="s"/>
      <c r="C15" s="27" t="n">
        <v>11</v>
      </c>
      <c r="D15" s="28" t="n">
        <v>15700</v>
      </c>
      <c r="E15" s="29"/>
      <c r="F15" s="30"/>
      <c r="G15" s="83" t="s">
        <v>737</v>
      </c>
      <c r="H15" s="32" t="s">
        <v>738</v>
      </c>
      <c r="I15" s="84" t="n">
        <v>3</v>
      </c>
      <c r="J15" s="33" t="n">
        <v>1200</v>
      </c>
      <c r="K15" s="46"/>
      <c r="L15" s="34"/>
      <c r="M15" s="35" t="n">
        <f aca="false">SUM(C15,I15)</f>
        <v>14</v>
      </c>
      <c r="N15" s="36" t="n">
        <f aca="false">SUM(D15,J15)</f>
        <v>16900</v>
      </c>
      <c r="O15" s="38" t="s">
        <v>739</v>
      </c>
      <c r="P15" s="38" t="s">
        <v>740</v>
      </c>
      <c r="Q15" s="38" t="n">
        <v>79</v>
      </c>
      <c r="R15" s="39" t="n">
        <v>158215</v>
      </c>
      <c r="S15" s="40"/>
      <c r="T15" s="41"/>
      <c r="U15" s="42" t="n">
        <f aca="false">SUM(Q15)</f>
        <v>79</v>
      </c>
      <c r="V15" s="90" t="n">
        <f aca="false">SUM(R15)</f>
        <v>158215</v>
      </c>
      <c r="W15" s="35" t="n">
        <f aca="false">SUM(M15,Q15)</f>
        <v>93</v>
      </c>
      <c r="X15" s="44" t="n">
        <f aca="false">SUM(N15,R15)</f>
        <v>175115</v>
      </c>
      <c r="Y15" s="45"/>
      <c r="Z15" s="40" t="n">
        <v>505</v>
      </c>
      <c r="AA15" s="40" t="s">
        <v>741</v>
      </c>
    </row>
    <row r="16" customFormat="false" ht="22.35" hidden="false" customHeight="false" outlineLevel="0" collapsed="false">
      <c r="A16" s="100" t="s">
        <v>742</v>
      </c>
      <c r="B16" s="100" t="s"/>
      <c r="C16" s="27" t="n">
        <v>10</v>
      </c>
      <c r="D16" s="28" t="n">
        <v>11050</v>
      </c>
      <c r="E16" s="29"/>
      <c r="F16" s="30"/>
      <c r="G16" s="83" t="s">
        <v>743</v>
      </c>
      <c r="H16" s="32" t="s">
        <v>744</v>
      </c>
      <c r="I16" s="84" t="n">
        <v>3</v>
      </c>
      <c r="J16" s="33" t="n">
        <v>2800</v>
      </c>
      <c r="K16" s="46"/>
      <c r="L16" s="34"/>
      <c r="M16" s="35" t="n">
        <f aca="false">SUM(C16,I16)</f>
        <v>13</v>
      </c>
      <c r="N16" s="36" t="n">
        <f aca="false">SUM(D16,J16)</f>
        <v>13850</v>
      </c>
      <c r="O16" s="38" t="s">
        <v>745</v>
      </c>
      <c r="P16" s="38" t="s">
        <v>746</v>
      </c>
      <c r="Q16" s="38" t="n">
        <v>60</v>
      </c>
      <c r="R16" s="39" t="n">
        <v>194567.2</v>
      </c>
      <c r="S16" s="40"/>
      <c r="T16" s="41"/>
      <c r="U16" s="42" t="n">
        <f aca="false">SUM(Q16)</f>
        <v>60</v>
      </c>
      <c r="V16" s="90" t="n">
        <f aca="false">SUM(R16)</f>
        <v>194567.2</v>
      </c>
      <c r="W16" s="35" t="n">
        <f aca="false">SUM(M16,Q16)</f>
        <v>73</v>
      </c>
      <c r="X16" s="44" t="n">
        <f aca="false">SUM(N16,R16)</f>
        <v>208417.2</v>
      </c>
      <c r="Y16" s="45"/>
      <c r="Z16" s="40" t="n">
        <v>511</v>
      </c>
      <c r="AA16" s="40" t="s">
        <v>747</v>
      </c>
    </row>
    <row r="17" customFormat="false" ht="22.35" hidden="false" customHeight="false" outlineLevel="0" collapsed="false">
      <c r="A17" s="100" t="s">
        <v>747</v>
      </c>
      <c r="B17" s="100" t="s"/>
      <c r="C17" s="27" t="n">
        <v>2</v>
      </c>
      <c r="D17" s="28" t="n">
        <v>1000</v>
      </c>
      <c r="E17" s="29"/>
      <c r="F17" s="30"/>
      <c r="G17" s="83" t="s">
        <v>748</v>
      </c>
      <c r="H17" s="32" t="s">
        <v>749</v>
      </c>
      <c r="I17" s="84" t="n">
        <v>11</v>
      </c>
      <c r="J17" s="33" t="n">
        <v>5700</v>
      </c>
      <c r="K17" s="46"/>
      <c r="L17" s="34"/>
      <c r="M17" s="35" t="n">
        <f aca="false">SUM(C17,I17)</f>
        <v>13</v>
      </c>
      <c r="N17" s="36" t="n">
        <f aca="false">SUM(D17,J17)</f>
        <v>6700</v>
      </c>
      <c r="O17" s="38" t="s">
        <v>750</v>
      </c>
      <c r="P17" s="38" t="s">
        <v>751</v>
      </c>
      <c r="Q17" s="38" t="n">
        <v>61</v>
      </c>
      <c r="R17" s="39" t="n">
        <v>101732</v>
      </c>
      <c r="S17" s="40"/>
      <c r="T17" s="41"/>
      <c r="U17" s="42" t="n">
        <f aca="false">SUM(Q17)</f>
        <v>61</v>
      </c>
      <c r="V17" s="90" t="n">
        <f aca="false">SUM(R17)</f>
        <v>101732</v>
      </c>
      <c r="W17" s="35" t="n">
        <f aca="false">SUM(M17,Q17)</f>
        <v>74</v>
      </c>
      <c r="X17" s="44" t="n">
        <f aca="false">SUM(N17,R17)</f>
        <v>108432</v>
      </c>
      <c r="Y17" s="45"/>
      <c r="Z17" s="40" t="n">
        <v>518</v>
      </c>
      <c r="AA17" s="40" t="s">
        <v>752</v>
      </c>
    </row>
    <row r="18" customFormat="false" ht="22.35" hidden="false" customHeight="false" outlineLevel="0" collapsed="false">
      <c r="A18" s="100" t="s">
        <v>752</v>
      </c>
      <c r="B18" s="100" t="s"/>
      <c r="C18" s="27" t="n">
        <v>4</v>
      </c>
      <c r="D18" s="28" t="n">
        <v>5300</v>
      </c>
      <c r="E18" s="29"/>
      <c r="F18" s="30"/>
      <c r="G18" s="32" t="s">
        <v>753</v>
      </c>
      <c r="H18" s="32" t="s">
        <v>754</v>
      </c>
      <c r="I18" s="84" t="n">
        <v>3</v>
      </c>
      <c r="J18" s="33" t="n">
        <v>1300</v>
      </c>
      <c r="K18" s="46"/>
      <c r="L18" s="34"/>
      <c r="M18" s="35" t="n">
        <f aca="false">SUM(C18,I18)</f>
        <v>7</v>
      </c>
      <c r="N18" s="36" t="n">
        <f aca="false">SUM(D18,J18)</f>
        <v>6600</v>
      </c>
      <c r="O18" s="38" t="s">
        <v>755</v>
      </c>
      <c r="P18" s="38" t="s">
        <v>756</v>
      </c>
      <c r="Q18" s="38" t="n">
        <v>83</v>
      </c>
      <c r="R18" s="39" t="n">
        <v>135553.9</v>
      </c>
      <c r="S18" s="40"/>
      <c r="T18" s="41"/>
      <c r="U18" s="42" t="n">
        <f aca="false">SUM(Q18)</f>
        <v>83</v>
      </c>
      <c r="V18" s="90" t="n">
        <f aca="false">SUM(R18)</f>
        <v>135553.9</v>
      </c>
      <c r="W18" s="35" t="n">
        <f aca="false">SUM(M18,Q18)</f>
        <v>90</v>
      </c>
      <c r="X18" s="44" t="n">
        <f aca="false">SUM(N18,R18)</f>
        <v>142153.9</v>
      </c>
      <c r="Y18" s="47"/>
      <c r="Z18" s="40" t="n">
        <v>524</v>
      </c>
      <c r="AA18" s="40" t="s">
        <v>757</v>
      </c>
    </row>
    <row r="19" customFormat="false" ht="22.35" hidden="false" customHeight="false" outlineLevel="0" collapsed="false">
      <c r="A19" s="100" t="s">
        <v>758</v>
      </c>
      <c r="B19" s="100" t="s"/>
      <c r="C19" s="27" t="n">
        <v>4</v>
      </c>
      <c r="D19" s="28" t="n">
        <v>2000</v>
      </c>
      <c r="E19" s="29"/>
      <c r="F19" s="30"/>
      <c r="G19" s="83" t="s">
        <v>759</v>
      </c>
      <c r="H19" s="32" t="s">
        <v>760</v>
      </c>
      <c r="I19" s="84" t="n">
        <v>3</v>
      </c>
      <c r="J19" s="33" t="n">
        <v>2200</v>
      </c>
      <c r="K19" s="46"/>
      <c r="L19" s="34"/>
      <c r="M19" s="35" t="n">
        <f aca="false">SUM(C19,I19)</f>
        <v>7</v>
      </c>
      <c r="N19" s="36" t="n">
        <f aca="false">SUM(D19,J19)</f>
        <v>4200</v>
      </c>
      <c r="O19" s="38" t="s">
        <v>761</v>
      </c>
      <c r="P19" s="38" t="s">
        <v>762</v>
      </c>
      <c r="Q19" s="38" t="n">
        <v>112</v>
      </c>
      <c r="R19" s="39" t="n">
        <v>243409.5</v>
      </c>
      <c r="S19" s="40"/>
      <c r="T19" s="41"/>
      <c r="U19" s="42" t="n">
        <f aca="false">SUM(Q19)</f>
        <v>112</v>
      </c>
      <c r="V19" s="90" t="n">
        <f aca="false">SUM(R19)</f>
        <v>243409.5</v>
      </c>
      <c r="W19" s="35" t="n">
        <f aca="false">SUM(M19,Q19)</f>
        <v>119</v>
      </c>
      <c r="X19" s="44" t="n">
        <f aca="false">SUM(N19,R19)</f>
        <v>247609.5</v>
      </c>
      <c r="Y19" s="47"/>
      <c r="Z19" s="40" t="n">
        <v>530</v>
      </c>
      <c r="AA19" s="40" t="s">
        <v>763</v>
      </c>
    </row>
    <row r="20" customFormat="false" ht="22.35" hidden="false" customHeight="false" outlineLevel="0" collapsed="false">
      <c r="A20" s="100" t="s">
        <v>763</v>
      </c>
      <c r="B20" s="100" t="s"/>
      <c r="C20" s="27" t="n">
        <v>4</v>
      </c>
      <c r="D20" s="28" t="n">
        <v>14920</v>
      </c>
      <c r="E20" s="29"/>
      <c r="F20" s="30"/>
      <c r="G20" s="83" t="s">
        <v>764</v>
      </c>
      <c r="H20" s="32" t="s">
        <v>765</v>
      </c>
      <c r="I20" s="84" t="n">
        <v>4</v>
      </c>
      <c r="J20" s="33" t="n">
        <v>1500</v>
      </c>
      <c r="K20" s="46"/>
      <c r="L20" s="34"/>
      <c r="M20" s="35" t="n">
        <f aca="false">SUM(C20,I20)</f>
        <v>8</v>
      </c>
      <c r="N20" s="36" t="n">
        <f aca="false">SUM(D20,J20)</f>
        <v>16420</v>
      </c>
      <c r="O20" s="38" t="s">
        <v>766</v>
      </c>
      <c r="P20" s="38" t="s">
        <v>767</v>
      </c>
      <c r="Q20" s="38" t="n">
        <v>62</v>
      </c>
      <c r="R20" s="39" t="n">
        <v>82660.5</v>
      </c>
      <c r="S20" s="40"/>
      <c r="T20" s="41"/>
      <c r="U20" s="42" t="n">
        <f aca="false">SUM(Q20)</f>
        <v>62</v>
      </c>
      <c r="V20" s="90" t="n">
        <f aca="false">SUM(R20)</f>
        <v>82660.5</v>
      </c>
      <c r="W20" s="35" t="n">
        <f aca="false">SUM(M20,Q20)</f>
        <v>70</v>
      </c>
      <c r="X20" s="44" t="n">
        <f aca="false">SUM(N20,R20)</f>
        <v>99080.5</v>
      </c>
      <c r="Y20" s="45"/>
      <c r="Z20" s="40" t="n">
        <v>537</v>
      </c>
      <c r="AA20" s="40" t="s">
        <v>768</v>
      </c>
    </row>
    <row r="21" customFormat="false" ht="22.35" hidden="false" customHeight="false" outlineLevel="0" collapsed="false">
      <c r="A21" s="100" t="s">
        <v>768</v>
      </c>
      <c r="B21" s="100" t="s"/>
      <c r="C21" s="27" t="n">
        <v>1</v>
      </c>
      <c r="D21" s="28" t="n">
        <v>500</v>
      </c>
      <c r="E21" s="29"/>
      <c r="F21" s="30"/>
      <c r="G21" s="83" t="s">
        <v>769</v>
      </c>
      <c r="H21" s="46" t="s">
        <v>38</v>
      </c>
      <c r="I21" s="84" t="n">
        <v>1</v>
      </c>
      <c r="J21" s="33" t="n">
        <v>200</v>
      </c>
      <c r="K21" s="46"/>
      <c r="L21" s="34"/>
      <c r="M21" s="35" t="n">
        <f aca="false">SUM(C21,I21)</f>
        <v>2</v>
      </c>
      <c r="N21" s="36" t="n">
        <f aca="false">SUM(D21,J21)</f>
        <v>700</v>
      </c>
      <c r="O21" s="38" t="s">
        <v>770</v>
      </c>
      <c r="P21" s="38" t="s">
        <v>771</v>
      </c>
      <c r="Q21" s="38" t="n">
        <v>64</v>
      </c>
      <c r="R21" s="39" t="n">
        <v>131144.6</v>
      </c>
      <c r="S21" s="40"/>
      <c r="T21" s="41"/>
      <c r="U21" s="42" t="n">
        <f aca="false">SUM(Q21)</f>
        <v>64</v>
      </c>
      <c r="V21" s="90" t="n">
        <f aca="false">SUM(R21)</f>
        <v>131144.6</v>
      </c>
      <c r="W21" s="35" t="n">
        <f aca="false">SUM(M21,Q21)</f>
        <v>66</v>
      </c>
      <c r="X21" s="44" t="n">
        <f aca="false">SUM(N21,R21)</f>
        <v>131844.6</v>
      </c>
      <c r="Y21" s="45"/>
      <c r="Z21" s="40" t="n">
        <v>543</v>
      </c>
      <c r="AA21" s="40" t="s">
        <v>772</v>
      </c>
    </row>
    <row r="22" customFormat="false" ht="22.35" hidden="false" customHeight="false" outlineLevel="0" collapsed="false">
      <c r="A22" s="100" t="s">
        <v>772</v>
      </c>
      <c r="B22" s="100" t="s"/>
      <c r="C22" s="27" t="n">
        <v>16</v>
      </c>
      <c r="D22" s="28" t="n">
        <v>7200</v>
      </c>
      <c r="E22" s="29"/>
      <c r="F22" s="30"/>
      <c r="G22" s="83" t="s">
        <v>773</v>
      </c>
      <c r="H22" s="32" t="s">
        <v>774</v>
      </c>
      <c r="I22" s="84" t="n">
        <v>8</v>
      </c>
      <c r="J22" s="33" t="n">
        <v>1600</v>
      </c>
      <c r="K22" s="46"/>
      <c r="L22" s="34"/>
      <c r="M22" s="35" t="n">
        <f aca="false">SUM(C22,I22)</f>
        <v>24</v>
      </c>
      <c r="N22" s="36" t="n">
        <f aca="false">SUM(D22,J22)</f>
        <v>8800</v>
      </c>
      <c r="O22" s="38" t="s">
        <v>775</v>
      </c>
      <c r="P22" s="38" t="s">
        <v>776</v>
      </c>
      <c r="Q22" s="38" t="n">
        <v>60</v>
      </c>
      <c r="R22" s="39" t="n">
        <v>136438.1</v>
      </c>
      <c r="S22" s="40"/>
      <c r="T22" s="41"/>
      <c r="U22" s="42" t="n">
        <f aca="false">SUM(Q22)</f>
        <v>60</v>
      </c>
      <c r="V22" s="90" t="n">
        <f aca="false">SUM(R22)</f>
        <v>136438.1</v>
      </c>
      <c r="W22" s="35" t="n">
        <f aca="false">SUM(M22,Q22)</f>
        <v>84</v>
      </c>
      <c r="X22" s="44" t="n">
        <f aca="false">SUM(N22,R22)</f>
        <v>145238.1</v>
      </c>
      <c r="Y22" s="45"/>
      <c r="Z22" s="40" t="n">
        <v>548</v>
      </c>
      <c r="AA22" s="40" t="s">
        <v>777</v>
      </c>
    </row>
    <row r="23" customFormat="false" ht="22.35" hidden="false" customHeight="false" outlineLevel="0" collapsed="false">
      <c r="A23" s="100" t="s">
        <v>777</v>
      </c>
      <c r="B23" s="100" t="s"/>
      <c r="C23" s="27" t="n">
        <v>9</v>
      </c>
      <c r="D23" s="28" t="n">
        <v>16890</v>
      </c>
      <c r="E23" s="29"/>
      <c r="F23" s="30"/>
      <c r="G23" s="83" t="s">
        <v>778</v>
      </c>
      <c r="H23" s="32" t="s">
        <v>779</v>
      </c>
      <c r="I23" s="84" t="n">
        <v>7</v>
      </c>
      <c r="J23" s="33" t="n">
        <v>4500</v>
      </c>
      <c r="K23" s="46"/>
      <c r="L23" s="34"/>
      <c r="M23" s="35" t="n">
        <f aca="false">SUM(C23,I23)</f>
        <v>16</v>
      </c>
      <c r="N23" s="36" t="n">
        <f aca="false">SUM(D23,J23)</f>
        <v>21390</v>
      </c>
      <c r="O23" s="37" t="s">
        <v>780</v>
      </c>
      <c r="P23" s="38" t="s">
        <v>781</v>
      </c>
      <c r="Q23" s="38" t="n">
        <v>89</v>
      </c>
      <c r="R23" s="39" t="n">
        <v>160273</v>
      </c>
      <c r="S23" s="40"/>
      <c r="T23" s="41"/>
      <c r="U23" s="42" t="n">
        <f aca="false">SUM(Q23)</f>
        <v>89</v>
      </c>
      <c r="V23" s="90" t="n">
        <f aca="false">SUM(R23)</f>
        <v>160273</v>
      </c>
      <c r="W23" s="35" t="n">
        <f aca="false">SUM(M23,Q23)</f>
        <v>105</v>
      </c>
      <c r="X23" s="44" t="n">
        <f aca="false">SUM(N23,R23)</f>
        <v>181663</v>
      </c>
      <c r="Y23" s="45"/>
      <c r="Z23" s="40" t="n">
        <v>555</v>
      </c>
      <c r="AA23" s="40" t="s">
        <v>782</v>
      </c>
    </row>
    <row r="24" customFormat="false" ht="19.7" hidden="false" customHeight="false" outlineLevel="0" collapsed="false">
      <c r="A24" s="66" t="s">
        <v>122</v>
      </c>
      <c r="B24" s="66" t="s"/>
      <c r="C24" s="67" t="n">
        <f aca="false">SUM(C6:C23)</f>
        <v>164</v>
      </c>
      <c r="D24" s="68" t="n">
        <f aca="false">SUM(D6:D23)</f>
        <v>1145510</v>
      </c>
      <c r="E24" s="69" t="n">
        <f aca="false">SUM(E6:E23)</f>
        <v>0</v>
      </c>
      <c r="F24" s="70" t="n">
        <f aca="false">SUM(F6:F23)</f>
        <v>0</v>
      </c>
      <c r="G24" s="71" t="s">
        <v>122</v>
      </c>
      <c r="H24" s="71"/>
      <c r="I24" s="72" t="n">
        <f aca="false">SUM(I6:I23)</f>
        <v>91</v>
      </c>
      <c r="J24" s="68" t="n">
        <f aca="false">SUM(J6:J23)</f>
        <v>39450</v>
      </c>
      <c r="K24" s="69" t="n">
        <f aca="false">SUM(K6:K23)</f>
        <v>0</v>
      </c>
      <c r="L24" s="70"/>
      <c r="M24" s="73" t="n">
        <f aca="false">SUM(M6:M23)</f>
        <v>255</v>
      </c>
      <c r="N24" s="74" t="n">
        <f aca="false">SUM(N6:N23)</f>
        <v>1184960</v>
      </c>
      <c r="O24" s="71" t="s">
        <v>122</v>
      </c>
      <c r="P24" s="71"/>
      <c r="Q24" s="75" t="n">
        <f aca="false">SUM(Q6:Q23)</f>
        <v>1220</v>
      </c>
      <c r="R24" s="76" t="n">
        <f aca="false">SUM(R6:R23)</f>
        <v>2349618.3</v>
      </c>
      <c r="S24" s="69" t="n">
        <f aca="false">SUM(S6:S23)</f>
        <v>0</v>
      </c>
      <c r="T24" s="70" t="n">
        <f aca="false">SUM(T6:T23)</f>
        <v>0</v>
      </c>
      <c r="U24" s="93" t="n">
        <f aca="false">SUM(U6:U23)</f>
        <v>1220</v>
      </c>
      <c r="V24" s="94" t="n">
        <f aca="false">SUM(V6:V23)</f>
        <v>2349618.3</v>
      </c>
      <c r="W24" s="73" t="n">
        <f aca="false">SUM(W6:W23)</f>
        <v>1475</v>
      </c>
      <c r="X24" s="79" t="n">
        <f aca="false">SUM(X6:X23)</f>
        <v>3534578.3</v>
      </c>
      <c r="Y24" s="80"/>
      <c r="Z24" s="81"/>
      <c r="AA24" s="81"/>
    </row>
    <row r="25" customFormat="false" ht="15.75" hidden="false" customHeight="false" outlineLevel="0" collapsed="false">
      <c r="A25" s="2"/>
      <c r="B25" s="2"/>
      <c r="C25" s="2"/>
      <c r="D25" s="82"/>
      <c r="E25" s="2"/>
      <c r="F25" s="2"/>
      <c r="G25" s="2"/>
      <c r="H25" s="2"/>
      <c r="I25" s="3"/>
      <c r="J25" s="3"/>
      <c r="K25" s="2"/>
      <c r="L25" s="2"/>
      <c r="M25" s="2"/>
      <c r="N25" s="2"/>
      <c r="O25" s="2"/>
      <c r="P25" s="2"/>
      <c r="Q25" s="3"/>
      <c r="R25" s="3"/>
      <c r="S25" s="2"/>
      <c r="T25" s="2"/>
      <c r="U25" s="2"/>
      <c r="V25" s="2"/>
      <c r="W25" s="2"/>
      <c r="X25" s="2"/>
      <c r="Y25" s="65"/>
      <c r="Z25" s="2"/>
      <c r="AA25" s="2"/>
    </row>
    <row r="26" customFormat="false" ht="15.75" hidden="false" customHeight="false" outlineLevel="0" collapsed="false">
      <c r="A26" s="2"/>
      <c r="B26" s="2"/>
      <c r="C26" s="2"/>
      <c r="D26" s="3"/>
      <c r="E26" s="2"/>
      <c r="F26" s="2"/>
      <c r="G26" s="2"/>
      <c r="H26" s="2"/>
      <c r="I26" s="3"/>
      <c r="J26" s="3"/>
      <c r="K26" s="2"/>
      <c r="L26" s="2"/>
      <c r="M26" s="2"/>
      <c r="N26" s="2"/>
      <c r="O26" s="2"/>
      <c r="P26" s="2"/>
      <c r="Q26" s="3"/>
      <c r="R26" s="3"/>
      <c r="S26" s="2"/>
      <c r="T26" s="2"/>
      <c r="U26" s="2"/>
      <c r="V26" s="2"/>
      <c r="W26" s="2"/>
      <c r="X26" s="2"/>
      <c r="Y26" s="65"/>
      <c r="Z26" s="2"/>
      <c r="AA26" s="2"/>
    </row>
    <row r="27" customFormat="false" ht="15.75" hidden="false" customHeight="false" outlineLevel="0" collapsed="false">
      <c r="A27" s="2"/>
      <c r="B27" s="2"/>
      <c r="C27" s="2"/>
      <c r="D27" s="3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5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5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5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5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</sheetData>
  <mergeCells count="32">
    <mergeCell ref="A1:AA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A3:AA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G24:H24"/>
    <mergeCell ref="O24:P24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outlinePr summaryBelow="0"/>
    <pageSetUpPr fitToPage="true"/>
  </sheetPr>
  <dimension ref="A1:AA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783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3" t="s">
        <v>11</v>
      </c>
      <c r="D4" s="14" t="s">
        <v>12</v>
      </c>
      <c r="E4" s="15" t="s">
        <v>13</v>
      </c>
      <c r="F4" s="15"/>
      <c r="G4" s="16" t="s">
        <v>14</v>
      </c>
      <c r="H4" s="17" t="s">
        <v>15</v>
      </c>
      <c r="I4" s="18" t="s">
        <v>11</v>
      </c>
      <c r="J4" s="18" t="s">
        <v>12</v>
      </c>
      <c r="K4" s="19" t="s">
        <v>16</v>
      </c>
      <c r="L4" s="19"/>
      <c r="M4" s="20" t="s">
        <v>17</v>
      </c>
      <c r="N4" s="21" t="s">
        <v>18</v>
      </c>
      <c r="O4" s="22" t="s">
        <v>14</v>
      </c>
      <c r="P4" s="23" t="s">
        <v>15</v>
      </c>
      <c r="Q4" s="23" t="s">
        <v>11</v>
      </c>
      <c r="R4" s="23" t="s">
        <v>12</v>
      </c>
      <c r="S4" s="24" t="s">
        <v>13</v>
      </c>
      <c r="T4" s="24"/>
      <c r="U4" s="9" t="s">
        <v>17</v>
      </c>
      <c r="V4" s="25" t="s">
        <v>18</v>
      </c>
      <c r="W4" s="20" t="s">
        <v>17</v>
      </c>
      <c r="X4" s="21" t="s">
        <v>18</v>
      </c>
      <c r="Y4" s="10"/>
      <c r="Z4" s="11"/>
      <c r="AA4" s="11"/>
    </row>
    <row r="5" customFormat="false" ht="19.7" hidden="false" customHeight="false" outlineLevel="0" collapsed="false">
      <c r="A5" s="4"/>
      <c r="B5" s="4"/>
      <c r="C5" s="13"/>
      <c r="D5" s="14"/>
      <c r="E5" s="14" t="s">
        <v>19</v>
      </c>
      <c r="F5" s="15" t="s">
        <v>20</v>
      </c>
      <c r="G5" s="16"/>
      <c r="H5" s="17"/>
      <c r="I5" s="17"/>
      <c r="J5" s="17"/>
      <c r="K5" s="17" t="s">
        <v>19</v>
      </c>
      <c r="L5" s="19" t="s">
        <v>20</v>
      </c>
      <c r="M5" s="20"/>
      <c r="N5" s="21"/>
      <c r="O5" s="22"/>
      <c r="P5" s="23"/>
      <c r="Q5" s="23"/>
      <c r="R5" s="23"/>
      <c r="S5" s="23" t="s">
        <v>11</v>
      </c>
      <c r="T5" s="24" t="s">
        <v>20</v>
      </c>
      <c r="U5" s="9"/>
      <c r="V5" s="25"/>
      <c r="W5" s="20"/>
      <c r="X5" s="21"/>
      <c r="Y5" s="10"/>
      <c r="Z5" s="11"/>
      <c r="AA5" s="11"/>
    </row>
    <row r="6" customFormat="false" ht="22.35" hidden="false" customHeight="false" outlineLevel="0" collapsed="false">
      <c r="A6" s="100" t="s">
        <v>784</v>
      </c>
      <c r="B6" s="100" t="s"/>
      <c r="C6" s="27" t="n">
        <v>11</v>
      </c>
      <c r="D6" s="28" t="n">
        <v>10650</v>
      </c>
      <c r="E6" s="29"/>
      <c r="F6" s="30"/>
      <c r="G6" s="83" t="s">
        <v>785</v>
      </c>
      <c r="H6" s="98" t="s">
        <v>786</v>
      </c>
      <c r="I6" s="84" t="n">
        <v>2</v>
      </c>
      <c r="J6" s="33" t="n">
        <v>1000</v>
      </c>
      <c r="K6" s="46"/>
      <c r="L6" s="34"/>
      <c r="M6" s="35" t="n">
        <f aca="false">SUM(C6,I6)</f>
        <v>13</v>
      </c>
      <c r="N6" s="36" t="n">
        <f aca="false">SUM(D6,J6)</f>
        <v>11650</v>
      </c>
      <c r="O6" s="38" t="s">
        <v>787</v>
      </c>
      <c r="P6" s="38" t="s">
        <v>788</v>
      </c>
      <c r="Q6" s="38" t="n">
        <v>44</v>
      </c>
      <c r="R6" s="39" t="n">
        <v>93314.95</v>
      </c>
      <c r="S6" s="40"/>
      <c r="T6" s="41"/>
      <c r="U6" s="42" t="n">
        <f aca="false">SUM(Q6)</f>
        <v>44</v>
      </c>
      <c r="V6" s="90" t="n">
        <f aca="false">SUM(R6)</f>
        <v>93314.95</v>
      </c>
      <c r="W6" s="35" t="n">
        <f aca="false">SUM(M6,Q6)</f>
        <v>57</v>
      </c>
      <c r="X6" s="44" t="n">
        <f aca="false">SUM(N6,R6)</f>
        <v>104964.95</v>
      </c>
      <c r="Y6" s="45"/>
      <c r="Z6" s="40" t="n">
        <v>562</v>
      </c>
      <c r="AA6" s="40" t="s">
        <v>789</v>
      </c>
    </row>
    <row r="7" customFormat="false" ht="22.35" hidden="false" customHeight="false" outlineLevel="0" collapsed="false">
      <c r="A7" s="100" t="s">
        <v>789</v>
      </c>
      <c r="B7" s="100" t="s"/>
      <c r="C7" s="27" t="n">
        <v>9</v>
      </c>
      <c r="D7" s="28" t="n">
        <v>387880</v>
      </c>
      <c r="E7" s="29"/>
      <c r="F7" s="30"/>
      <c r="G7" s="83" t="s">
        <v>790</v>
      </c>
      <c r="H7" s="32" t="s">
        <v>791</v>
      </c>
      <c r="I7" s="84" t="n">
        <v>27</v>
      </c>
      <c r="J7" s="33" t="n">
        <v>6100</v>
      </c>
      <c r="K7" s="46"/>
      <c r="L7" s="34"/>
      <c r="M7" s="35" t="n">
        <f aca="false">SUM(C7,I7)</f>
        <v>36</v>
      </c>
      <c r="N7" s="36" t="n">
        <f aca="false">SUM(D7,J7)</f>
        <v>393980</v>
      </c>
      <c r="O7" s="38" t="s">
        <v>792</v>
      </c>
      <c r="P7" s="38" t="s">
        <v>793</v>
      </c>
      <c r="Q7" s="38" t="n">
        <v>56</v>
      </c>
      <c r="R7" s="39" t="n">
        <v>112243.03</v>
      </c>
      <c r="S7" s="40"/>
      <c r="T7" s="41"/>
      <c r="U7" s="42" t="n">
        <f aca="false">SUM(Q7)</f>
        <v>56</v>
      </c>
      <c r="V7" s="90" t="n">
        <f aca="false">SUM(R7)</f>
        <v>112243.03</v>
      </c>
      <c r="W7" s="35" t="n">
        <f aca="false">SUM(M7,Q7)</f>
        <v>92</v>
      </c>
      <c r="X7" s="44" t="n">
        <f aca="false">SUM(N7,R7)</f>
        <v>506223.03</v>
      </c>
      <c r="Y7" s="45"/>
      <c r="Z7" s="40" t="n">
        <v>570</v>
      </c>
      <c r="AA7" s="40" t="s">
        <v>794</v>
      </c>
    </row>
    <row r="8" customFormat="false" ht="22.35" hidden="false" customHeight="false" outlineLevel="0" collapsed="false">
      <c r="A8" s="100" t="s">
        <v>794</v>
      </c>
      <c r="B8" s="100" t="s"/>
      <c r="C8" s="27" t="n">
        <v>10</v>
      </c>
      <c r="D8" s="28" t="n">
        <v>36600</v>
      </c>
      <c r="E8" s="29"/>
      <c r="F8" s="30"/>
      <c r="G8" s="83" t="s">
        <v>795</v>
      </c>
      <c r="H8" s="32" t="s">
        <v>796</v>
      </c>
      <c r="I8" s="84" t="n">
        <v>5</v>
      </c>
      <c r="J8" s="33" t="n">
        <v>1000</v>
      </c>
      <c r="K8" s="46"/>
      <c r="L8" s="34"/>
      <c r="M8" s="35" t="n">
        <f aca="false">SUM(C8,I8)</f>
        <v>15</v>
      </c>
      <c r="N8" s="36" t="n">
        <f aca="false">SUM(D8,J8)</f>
        <v>37600</v>
      </c>
      <c r="O8" s="38" t="s">
        <v>797</v>
      </c>
      <c r="P8" s="38" t="s">
        <v>798</v>
      </c>
      <c r="Q8" s="38" t="n">
        <v>61</v>
      </c>
      <c r="R8" s="39" t="n">
        <v>97947.23</v>
      </c>
      <c r="S8" s="40"/>
      <c r="T8" s="41"/>
      <c r="U8" s="42" t="n">
        <f aca="false">SUM(Q8)</f>
        <v>61</v>
      </c>
      <c r="V8" s="90" t="n">
        <f aca="false">SUM(R8)</f>
        <v>97947.23</v>
      </c>
      <c r="W8" s="35" t="n">
        <f aca="false">SUM(M8,Q8)</f>
        <v>76</v>
      </c>
      <c r="X8" s="44" t="n">
        <f aca="false">SUM(N8,R8)</f>
        <v>135547.23</v>
      </c>
      <c r="Y8" s="96"/>
      <c r="Z8" s="40" t="n">
        <v>577</v>
      </c>
      <c r="AA8" s="40" t="s">
        <v>799</v>
      </c>
    </row>
    <row r="9" customFormat="false" ht="22.35" hidden="false" customHeight="false" outlineLevel="0" collapsed="false">
      <c r="A9" s="100" t="s">
        <v>799</v>
      </c>
      <c r="B9" s="100" t="s"/>
      <c r="C9" s="27" t="n">
        <v>2</v>
      </c>
      <c r="D9" s="28" t="n">
        <v>40880</v>
      </c>
      <c r="E9" s="29"/>
      <c r="F9" s="30"/>
      <c r="G9" s="85" t="s">
        <v>38</v>
      </c>
      <c r="H9" s="46" t="s">
        <v>38</v>
      </c>
      <c r="I9" s="84" t="s">
        <v>38</v>
      </c>
      <c r="J9" s="33" t="s">
        <v>38</v>
      </c>
      <c r="K9" s="46"/>
      <c r="L9" s="34"/>
      <c r="M9" s="35" t="n">
        <f aca="false">SUM(C9,I9)</f>
        <v>2</v>
      </c>
      <c r="N9" s="36" t="n">
        <f aca="false">SUM(D9,J9)</f>
        <v>40880</v>
      </c>
      <c r="O9" s="38" t="s">
        <v>800</v>
      </c>
      <c r="P9" s="38" t="s">
        <v>801</v>
      </c>
      <c r="Q9" s="38" t="n">
        <v>55</v>
      </c>
      <c r="R9" s="39" t="n">
        <v>89238.18</v>
      </c>
      <c r="S9" s="40"/>
      <c r="T9" s="41"/>
      <c r="U9" s="42" t="n">
        <f aca="false">SUM(Q9)</f>
        <v>55</v>
      </c>
      <c r="V9" s="90" t="n">
        <f aca="false">SUM(R9)</f>
        <v>89238.18</v>
      </c>
      <c r="W9" s="35" t="n">
        <f aca="false">SUM(M9,Q9)</f>
        <v>57</v>
      </c>
      <c r="X9" s="44" t="n">
        <f aca="false">SUM(N9,R9)</f>
        <v>130118.18</v>
      </c>
      <c r="Y9" s="45"/>
      <c r="Z9" s="40" t="n">
        <v>584</v>
      </c>
      <c r="AA9" s="40" t="s">
        <v>802</v>
      </c>
    </row>
    <row r="10" customFormat="false" ht="22.35" hidden="false" customHeight="false" outlineLevel="0" collapsed="false">
      <c r="A10" s="100" t="s">
        <v>803</v>
      </c>
      <c r="B10" s="100" t="s"/>
      <c r="C10" s="27" t="n">
        <v>5</v>
      </c>
      <c r="D10" s="28" t="n">
        <v>3900</v>
      </c>
      <c r="E10" s="29"/>
      <c r="F10" s="30"/>
      <c r="G10" s="83" t="s">
        <v>804</v>
      </c>
      <c r="H10" s="46" t="s">
        <v>38</v>
      </c>
      <c r="I10" s="84" t="n">
        <v>1</v>
      </c>
      <c r="J10" s="33" t="n">
        <v>200</v>
      </c>
      <c r="K10" s="46"/>
      <c r="L10" s="34"/>
      <c r="M10" s="35" t="n">
        <f aca="false">SUM(C10,I10)</f>
        <v>6</v>
      </c>
      <c r="N10" s="36" t="n">
        <f aca="false">SUM(D10,J10)</f>
        <v>4100</v>
      </c>
      <c r="O10" s="38" t="s">
        <v>805</v>
      </c>
      <c r="P10" s="38" t="s">
        <v>806</v>
      </c>
      <c r="Q10" s="38" t="n">
        <v>75</v>
      </c>
      <c r="R10" s="39" t="n">
        <v>129831.57</v>
      </c>
      <c r="S10" s="40"/>
      <c r="T10" s="41"/>
      <c r="U10" s="42" t="n">
        <f aca="false">SUM(Q10)</f>
        <v>75</v>
      </c>
      <c r="V10" s="90" t="n">
        <f aca="false">SUM(R10)</f>
        <v>129831.57</v>
      </c>
      <c r="W10" s="35" t="n">
        <f aca="false">SUM(M10,Q10)</f>
        <v>81</v>
      </c>
      <c r="X10" s="44" t="n">
        <f aca="false">SUM(N10,R10)</f>
        <v>133931.57</v>
      </c>
      <c r="Y10" s="45"/>
      <c r="Z10" s="40" t="n">
        <v>592</v>
      </c>
      <c r="AA10" s="40" t="s">
        <v>807</v>
      </c>
    </row>
    <row r="11" customFormat="false" ht="22.35" hidden="false" customHeight="false" outlineLevel="0" collapsed="false">
      <c r="A11" s="100" t="s">
        <v>807</v>
      </c>
      <c r="B11" s="100" t="s"/>
      <c r="C11" s="27" t="n">
        <v>4</v>
      </c>
      <c r="D11" s="28" t="n">
        <v>2400</v>
      </c>
      <c r="E11" s="29"/>
      <c r="F11" s="30"/>
      <c r="G11" s="83" t="s">
        <v>808</v>
      </c>
      <c r="H11" s="32" t="s">
        <v>809</v>
      </c>
      <c r="I11" s="84" t="n">
        <v>2</v>
      </c>
      <c r="J11" s="33" t="n">
        <v>400</v>
      </c>
      <c r="K11" s="46"/>
      <c r="L11" s="34"/>
      <c r="M11" s="35" t="n">
        <f aca="false">SUM(C11,I11)</f>
        <v>6</v>
      </c>
      <c r="N11" s="36" t="n">
        <f aca="false">SUM(D11,J11)</f>
        <v>2800</v>
      </c>
      <c r="O11" s="38" t="s">
        <v>810</v>
      </c>
      <c r="P11" s="38" t="s">
        <v>811</v>
      </c>
      <c r="Q11" s="38" t="n">
        <v>55</v>
      </c>
      <c r="R11" s="39" t="n">
        <v>81388.06</v>
      </c>
      <c r="S11" s="40"/>
      <c r="T11" s="41"/>
      <c r="U11" s="42" t="n">
        <f aca="false">SUM(Q11)</f>
        <v>55</v>
      </c>
      <c r="V11" s="90" t="n">
        <f aca="false">SUM(R11)</f>
        <v>81388.06</v>
      </c>
      <c r="W11" s="35" t="n">
        <f aca="false">SUM(M11,Q11)</f>
        <v>61</v>
      </c>
      <c r="X11" s="44" t="n">
        <f aca="false">SUM(N11,R11)</f>
        <v>84188.06</v>
      </c>
      <c r="Y11" s="45"/>
      <c r="Z11" s="40" t="n">
        <v>598</v>
      </c>
      <c r="AA11" s="40" t="s">
        <v>812</v>
      </c>
    </row>
    <row r="12" customFormat="false" ht="22.35" hidden="false" customHeight="false" outlineLevel="0" collapsed="false">
      <c r="A12" s="100" t="s">
        <v>813</v>
      </c>
      <c r="B12" s="100" t="s"/>
      <c r="C12" s="27" t="n">
        <v>6</v>
      </c>
      <c r="D12" s="28" t="n">
        <v>6740</v>
      </c>
      <c r="E12" s="29"/>
      <c r="F12" s="30"/>
      <c r="G12" s="83" t="s">
        <v>814</v>
      </c>
      <c r="H12" s="32" t="s">
        <v>815</v>
      </c>
      <c r="I12" s="84" t="n">
        <v>6</v>
      </c>
      <c r="J12" s="33" t="n">
        <v>5200</v>
      </c>
      <c r="K12" s="46"/>
      <c r="L12" s="34"/>
      <c r="M12" s="35" t="n">
        <f aca="false">SUM(C12,I12)</f>
        <v>12</v>
      </c>
      <c r="N12" s="36" t="n">
        <f aca="false">SUM(D12,J12)</f>
        <v>11940</v>
      </c>
      <c r="O12" s="38" t="s">
        <v>816</v>
      </c>
      <c r="P12" s="38" t="s">
        <v>817</v>
      </c>
      <c r="Q12" s="38" t="n">
        <v>55</v>
      </c>
      <c r="R12" s="39" t="n">
        <v>88429.75</v>
      </c>
      <c r="S12" s="40"/>
      <c r="T12" s="41"/>
      <c r="U12" s="42" t="n">
        <f aca="false">SUM(Q12)</f>
        <v>55</v>
      </c>
      <c r="V12" s="90" t="n">
        <f aca="false">SUM(R12)</f>
        <v>88429.75</v>
      </c>
      <c r="W12" s="35" t="n">
        <f aca="false">SUM(M12,Q12)</f>
        <v>67</v>
      </c>
      <c r="X12" s="44" t="n">
        <f aca="false">SUM(N12,R12)</f>
        <v>100369.75</v>
      </c>
      <c r="Y12" s="45"/>
      <c r="Z12" s="40" t="n">
        <v>603</v>
      </c>
      <c r="AA12" s="40" t="s">
        <v>818</v>
      </c>
    </row>
    <row r="13" customFormat="false" ht="22.35" hidden="false" customHeight="false" outlineLevel="0" collapsed="false">
      <c r="A13" s="100" t="s">
        <v>818</v>
      </c>
      <c r="B13" s="100" t="s"/>
      <c r="C13" s="27" t="s">
        <v>38</v>
      </c>
      <c r="D13" s="28" t="s">
        <v>38</v>
      </c>
      <c r="E13" s="29"/>
      <c r="F13" s="30"/>
      <c r="G13" s="83" t="s">
        <v>819</v>
      </c>
      <c r="H13" s="32" t="s">
        <v>820</v>
      </c>
      <c r="I13" s="84" t="n">
        <v>6</v>
      </c>
      <c r="J13" s="33" t="n">
        <v>2100</v>
      </c>
      <c r="K13" s="46"/>
      <c r="L13" s="34"/>
      <c r="M13" s="35" t="n">
        <f aca="false">SUM(C13,I13)</f>
        <v>6</v>
      </c>
      <c r="N13" s="36" t="n">
        <f aca="false">SUM(D13,J13)</f>
        <v>2100</v>
      </c>
      <c r="O13" s="38" t="s">
        <v>821</v>
      </c>
      <c r="P13" s="38" t="s">
        <v>822</v>
      </c>
      <c r="Q13" s="38" t="n">
        <v>49</v>
      </c>
      <c r="R13" s="39" t="n">
        <v>98529.35</v>
      </c>
      <c r="S13" s="40"/>
      <c r="T13" s="41"/>
      <c r="U13" s="42" t="n">
        <f aca="false">SUM(Q13)</f>
        <v>49</v>
      </c>
      <c r="V13" s="90" t="n">
        <f aca="false">SUM(R13)</f>
        <v>98529.35</v>
      </c>
      <c r="W13" s="35" t="n">
        <f aca="false">SUM(M13,Q13)</f>
        <v>55</v>
      </c>
      <c r="X13" s="44" t="n">
        <f aca="false">SUM(N13,R13)</f>
        <v>100629.35</v>
      </c>
      <c r="Y13" s="45"/>
      <c r="Z13" s="40" t="n">
        <v>610</v>
      </c>
      <c r="AA13" s="40" t="s">
        <v>823</v>
      </c>
    </row>
    <row r="14" customFormat="false" ht="22.35" hidden="false" customHeight="false" outlineLevel="0" collapsed="false">
      <c r="A14" s="100" t="s">
        <v>824</v>
      </c>
      <c r="B14" s="100" t="s"/>
      <c r="C14" s="27" t="n">
        <v>5</v>
      </c>
      <c r="D14" s="28" t="n">
        <v>16640</v>
      </c>
      <c r="E14" s="29"/>
      <c r="F14" s="30"/>
      <c r="G14" s="83" t="s">
        <v>825</v>
      </c>
      <c r="H14" s="32" t="s">
        <v>826</v>
      </c>
      <c r="I14" s="84" t="n">
        <v>10</v>
      </c>
      <c r="J14" s="33" t="n">
        <v>5800</v>
      </c>
      <c r="K14" s="46"/>
      <c r="L14" s="34"/>
      <c r="M14" s="35" t="n">
        <f aca="false">SUM(C14,I14)</f>
        <v>15</v>
      </c>
      <c r="N14" s="36" t="n">
        <f aca="false">SUM(D14,J14)</f>
        <v>22440</v>
      </c>
      <c r="O14" s="38" t="s">
        <v>827</v>
      </c>
      <c r="P14" s="38" t="s">
        <v>828</v>
      </c>
      <c r="Q14" s="38" t="n">
        <v>52</v>
      </c>
      <c r="R14" s="39" t="n">
        <v>107856.1</v>
      </c>
      <c r="S14" s="40"/>
      <c r="T14" s="41"/>
      <c r="U14" s="42" t="n">
        <f aca="false">SUM(Q14)</f>
        <v>52</v>
      </c>
      <c r="V14" s="90" t="n">
        <f aca="false">SUM(R14)</f>
        <v>107856.1</v>
      </c>
      <c r="W14" s="35" t="n">
        <f aca="false">SUM(M14,Q14)</f>
        <v>67</v>
      </c>
      <c r="X14" s="44" t="n">
        <f aca="false">SUM(N14,R14)</f>
        <v>130296.1</v>
      </c>
      <c r="Y14" s="45"/>
      <c r="Z14" s="40" t="n">
        <v>618</v>
      </c>
      <c r="AA14" s="40" t="s">
        <v>829</v>
      </c>
    </row>
    <row r="15" customFormat="false" ht="22.35" hidden="false" customHeight="false" outlineLevel="0" collapsed="false">
      <c r="A15" s="100" t="s">
        <v>829</v>
      </c>
      <c r="B15" s="100" t="s"/>
      <c r="C15" s="27" t="n">
        <v>9</v>
      </c>
      <c r="D15" s="28" t="n">
        <v>7500</v>
      </c>
      <c r="E15" s="29"/>
      <c r="F15" s="30"/>
      <c r="G15" s="83" t="s">
        <v>830</v>
      </c>
      <c r="H15" s="32" t="s">
        <v>831</v>
      </c>
      <c r="I15" s="84" t="n">
        <v>2</v>
      </c>
      <c r="J15" s="33" t="n">
        <v>1200</v>
      </c>
      <c r="K15" s="46"/>
      <c r="L15" s="34"/>
      <c r="M15" s="35" t="n">
        <f aca="false">SUM(C15,I15)</f>
        <v>11</v>
      </c>
      <c r="N15" s="36" t="n">
        <f aca="false">SUM(D15,J15)</f>
        <v>8700</v>
      </c>
      <c r="O15" s="38" t="s">
        <v>832</v>
      </c>
      <c r="P15" s="38" t="s">
        <v>833</v>
      </c>
      <c r="Q15" s="38" t="n">
        <v>39</v>
      </c>
      <c r="R15" s="39" t="n">
        <v>89498.74</v>
      </c>
      <c r="S15" s="40"/>
      <c r="T15" s="41"/>
      <c r="U15" s="42" t="n">
        <f aca="false">SUM(Q15)</f>
        <v>39</v>
      </c>
      <c r="V15" s="90" t="n">
        <f aca="false">SUM(R15)</f>
        <v>89498.74</v>
      </c>
      <c r="W15" s="35" t="n">
        <f aca="false">SUM(M15,Q15)</f>
        <v>50</v>
      </c>
      <c r="X15" s="44" t="n">
        <f aca="false">SUM(N15,R15)</f>
        <v>98198.74</v>
      </c>
      <c r="Y15" s="45"/>
      <c r="Z15" s="40" t="n">
        <v>624</v>
      </c>
      <c r="AA15" s="40" t="s">
        <v>834</v>
      </c>
    </row>
    <row r="16" customFormat="false" ht="22.35" hidden="false" customHeight="false" outlineLevel="0" collapsed="false">
      <c r="A16" s="100" t="s">
        <v>834</v>
      </c>
      <c r="B16" s="100" t="s"/>
      <c r="C16" s="27" t="n">
        <v>6</v>
      </c>
      <c r="D16" s="28" t="n">
        <v>10940</v>
      </c>
      <c r="E16" s="29"/>
      <c r="F16" s="30"/>
      <c r="G16" s="32" t="s">
        <v>835</v>
      </c>
      <c r="H16" s="32" t="s">
        <v>836</v>
      </c>
      <c r="I16" s="84" t="n">
        <v>3</v>
      </c>
      <c r="J16" s="33" t="n">
        <v>2100</v>
      </c>
      <c r="K16" s="46"/>
      <c r="L16" s="34"/>
      <c r="M16" s="35" t="n">
        <f aca="false">SUM(C16,I16)</f>
        <v>9</v>
      </c>
      <c r="N16" s="36" t="n">
        <f aca="false">SUM(D16,J16)</f>
        <v>13040</v>
      </c>
      <c r="O16" s="38" t="s">
        <v>837</v>
      </c>
      <c r="P16" s="38" t="s">
        <v>838</v>
      </c>
      <c r="Q16" s="38" t="n">
        <v>37</v>
      </c>
      <c r="R16" s="39" t="n">
        <v>61491</v>
      </c>
      <c r="S16" s="40"/>
      <c r="T16" s="41"/>
      <c r="U16" s="42" t="n">
        <f aca="false">SUM(Q16)</f>
        <v>37</v>
      </c>
      <c r="V16" s="90" t="n">
        <f aca="false">SUM(R16)</f>
        <v>61491</v>
      </c>
      <c r="W16" s="35" t="n">
        <f aca="false">SUM(M16,Q16)</f>
        <v>46</v>
      </c>
      <c r="X16" s="44" t="n">
        <f aca="false">SUM(N16,R16)</f>
        <v>74531</v>
      </c>
      <c r="Y16" s="47"/>
      <c r="Z16" s="40" t="n">
        <v>630</v>
      </c>
      <c r="AA16" s="40" t="s">
        <v>839</v>
      </c>
    </row>
    <row r="17" customFormat="false" ht="22.35" hidden="false" customHeight="false" outlineLevel="0" collapsed="false">
      <c r="A17" s="100" t="s">
        <v>839</v>
      </c>
      <c r="B17" s="100" t="s"/>
      <c r="C17" s="27" t="n">
        <v>1</v>
      </c>
      <c r="D17" s="28" t="n">
        <v>3400</v>
      </c>
      <c r="E17" s="29"/>
      <c r="F17" s="30"/>
      <c r="G17" s="83" t="s">
        <v>840</v>
      </c>
      <c r="H17" s="32" t="s">
        <v>841</v>
      </c>
      <c r="I17" s="84" t="n">
        <v>4</v>
      </c>
      <c r="J17" s="33" t="n">
        <v>1050</v>
      </c>
      <c r="K17" s="46"/>
      <c r="L17" s="34"/>
      <c r="M17" s="35" t="n">
        <f aca="false">SUM(C17,I17)</f>
        <v>5</v>
      </c>
      <c r="N17" s="36" t="n">
        <f aca="false">SUM(D17,J17)</f>
        <v>4450</v>
      </c>
      <c r="O17" s="38" t="s">
        <v>842</v>
      </c>
      <c r="P17" s="38" t="s">
        <v>843</v>
      </c>
      <c r="Q17" s="38" t="n">
        <v>70</v>
      </c>
      <c r="R17" s="39" t="n">
        <v>100840.79</v>
      </c>
      <c r="S17" s="40"/>
      <c r="T17" s="41"/>
      <c r="U17" s="42" t="n">
        <f aca="false">SUM(Q17)</f>
        <v>70</v>
      </c>
      <c r="V17" s="90" t="n">
        <f aca="false">SUM(R17)</f>
        <v>100840.79</v>
      </c>
      <c r="W17" s="35" t="n">
        <f aca="false">SUM(M17,Q17)</f>
        <v>75</v>
      </c>
      <c r="X17" s="44" t="n">
        <f aca="false">SUM(N17,R17)</f>
        <v>105290.79</v>
      </c>
      <c r="Y17" s="47"/>
      <c r="Z17" s="40" t="n">
        <v>635</v>
      </c>
      <c r="AA17" s="40" t="s">
        <v>844</v>
      </c>
    </row>
    <row r="18" customFormat="false" ht="22.35" hidden="false" customHeight="false" outlineLevel="0" collapsed="false">
      <c r="A18" s="100" t="s">
        <v>844</v>
      </c>
      <c r="B18" s="100" t="s"/>
      <c r="C18" s="27" t="n">
        <v>1</v>
      </c>
      <c r="D18" s="28" t="n">
        <v>4200</v>
      </c>
      <c r="E18" s="29"/>
      <c r="F18" s="30"/>
      <c r="G18" s="83" t="s">
        <v>845</v>
      </c>
      <c r="H18" s="32" t="s">
        <v>846</v>
      </c>
      <c r="I18" s="84" t="n">
        <v>2</v>
      </c>
      <c r="J18" s="33" t="n">
        <v>650</v>
      </c>
      <c r="K18" s="46"/>
      <c r="L18" s="34"/>
      <c r="M18" s="35" t="n">
        <f aca="false">SUM(C18,I18)</f>
        <v>3</v>
      </c>
      <c r="N18" s="36" t="n">
        <f aca="false">SUM(D18,J18)</f>
        <v>4850</v>
      </c>
      <c r="O18" s="38" t="s">
        <v>847</v>
      </c>
      <c r="P18" s="38" t="s">
        <v>848</v>
      </c>
      <c r="Q18" s="38" t="n">
        <v>42</v>
      </c>
      <c r="R18" s="39" t="n">
        <v>98450.19</v>
      </c>
      <c r="S18" s="40"/>
      <c r="T18" s="41"/>
      <c r="U18" s="42" t="n">
        <f aca="false">SUM(Q18)</f>
        <v>42</v>
      </c>
      <c r="V18" s="90" t="n">
        <f aca="false">SUM(R18)</f>
        <v>98450.19</v>
      </c>
      <c r="W18" s="35" t="n">
        <f aca="false">SUM(M18,Q18)</f>
        <v>45</v>
      </c>
      <c r="X18" s="44" t="n">
        <f aca="false">SUM(N18,R18)</f>
        <v>103300.19</v>
      </c>
      <c r="Y18" s="45"/>
      <c r="Z18" s="40" t="n">
        <v>641</v>
      </c>
      <c r="AA18" s="40" t="s">
        <v>849</v>
      </c>
    </row>
    <row r="19" customFormat="false" ht="22.35" hidden="false" customHeight="false" outlineLevel="0" collapsed="false">
      <c r="A19" s="100" t="s">
        <v>850</v>
      </c>
      <c r="B19" s="100" t="s"/>
      <c r="C19" s="27" t="n">
        <v>5</v>
      </c>
      <c r="D19" s="28" t="n">
        <v>8200</v>
      </c>
      <c r="E19" s="29"/>
      <c r="F19" s="30"/>
      <c r="G19" s="83" t="s">
        <v>851</v>
      </c>
      <c r="H19" s="32" t="s">
        <v>852</v>
      </c>
      <c r="I19" s="84" t="n">
        <v>2</v>
      </c>
      <c r="J19" s="33" t="n">
        <v>2000</v>
      </c>
      <c r="K19" s="46"/>
      <c r="L19" s="34"/>
      <c r="M19" s="35" t="n">
        <f aca="false">SUM(C19,I19)</f>
        <v>7</v>
      </c>
      <c r="N19" s="36" t="n">
        <f aca="false">SUM(D19,J19)</f>
        <v>10200</v>
      </c>
      <c r="O19" s="38" t="s">
        <v>853</v>
      </c>
      <c r="P19" s="38" t="s">
        <v>854</v>
      </c>
      <c r="Q19" s="38" t="n">
        <v>46</v>
      </c>
      <c r="R19" s="39" t="n">
        <v>66756.7</v>
      </c>
      <c r="S19" s="40"/>
      <c r="T19" s="41"/>
      <c r="U19" s="42" t="n">
        <f aca="false">SUM(Q19)</f>
        <v>46</v>
      </c>
      <c r="V19" s="90" t="n">
        <f aca="false">SUM(R19)</f>
        <v>66756.7</v>
      </c>
      <c r="W19" s="35" t="n">
        <f aca="false">SUM(M19,Q19)</f>
        <v>53</v>
      </c>
      <c r="X19" s="44" t="n">
        <f aca="false">SUM(N19,R19)</f>
        <v>76956.7</v>
      </c>
      <c r="Y19" s="45"/>
      <c r="Z19" s="40" t="n">
        <v>647</v>
      </c>
      <c r="AA19" s="40" t="s">
        <v>855</v>
      </c>
    </row>
    <row r="20" customFormat="false" ht="22.35" hidden="false" customHeight="false" outlineLevel="0" collapsed="false">
      <c r="A20" s="100" t="s">
        <v>855</v>
      </c>
      <c r="B20" s="100" t="s"/>
      <c r="C20" s="27" t="n">
        <v>2</v>
      </c>
      <c r="D20" s="28" t="n">
        <v>6000</v>
      </c>
      <c r="E20" s="29"/>
      <c r="F20" s="30"/>
      <c r="G20" s="83" t="s">
        <v>856</v>
      </c>
      <c r="H20" s="32" t="s">
        <v>857</v>
      </c>
      <c r="I20" s="84" t="n">
        <v>6</v>
      </c>
      <c r="J20" s="33" t="n">
        <v>4400</v>
      </c>
      <c r="K20" s="46"/>
      <c r="L20" s="34"/>
      <c r="M20" s="35" t="n">
        <f aca="false">SUM(C20,I20)</f>
        <v>8</v>
      </c>
      <c r="N20" s="36" t="n">
        <f aca="false">SUM(D20,J20)</f>
        <v>10400</v>
      </c>
      <c r="O20" s="38" t="s">
        <v>858</v>
      </c>
      <c r="P20" s="38" t="s">
        <v>859</v>
      </c>
      <c r="Q20" s="38" t="n">
        <v>56</v>
      </c>
      <c r="R20" s="39" t="n">
        <v>80749.43</v>
      </c>
      <c r="S20" s="40"/>
      <c r="T20" s="41"/>
      <c r="U20" s="42" t="n">
        <f aca="false">SUM(Q20)</f>
        <v>56</v>
      </c>
      <c r="V20" s="90" t="n">
        <f aca="false">SUM(R20)</f>
        <v>80749.43</v>
      </c>
      <c r="W20" s="35" t="n">
        <f aca="false">SUM(M20,Q20)</f>
        <v>64</v>
      </c>
      <c r="X20" s="44" t="n">
        <f aca="false">SUM(N20,R20)</f>
        <v>91149.43</v>
      </c>
      <c r="Y20" s="45"/>
      <c r="Z20" s="40" t="n">
        <v>653</v>
      </c>
      <c r="AA20" s="40" t="s">
        <v>860</v>
      </c>
    </row>
    <row r="21" customFormat="false" ht="22.35" hidden="false" customHeight="false" outlineLevel="0" collapsed="false">
      <c r="A21" s="100" t="s">
        <v>860</v>
      </c>
      <c r="B21" s="100" t="s"/>
      <c r="C21" s="27" t="n">
        <v>5</v>
      </c>
      <c r="D21" s="28" t="n">
        <v>7100</v>
      </c>
      <c r="E21" s="29"/>
      <c r="F21" s="30"/>
      <c r="G21" s="83" t="s">
        <v>861</v>
      </c>
      <c r="H21" s="32" t="s">
        <v>862</v>
      </c>
      <c r="I21" s="84" t="n">
        <v>2</v>
      </c>
      <c r="J21" s="33" t="n">
        <v>2250</v>
      </c>
      <c r="K21" s="46"/>
      <c r="L21" s="34"/>
      <c r="M21" s="35" t="n">
        <f aca="false">SUM(C21,I21)</f>
        <v>7</v>
      </c>
      <c r="N21" s="36" t="n">
        <f aca="false">SUM(D21,J21)</f>
        <v>9350</v>
      </c>
      <c r="O21" s="37" t="s">
        <v>863</v>
      </c>
      <c r="P21" s="38" t="s">
        <v>864</v>
      </c>
      <c r="Q21" s="38" t="n">
        <v>36</v>
      </c>
      <c r="R21" s="39" t="n">
        <v>50272.86</v>
      </c>
      <c r="S21" s="40"/>
      <c r="T21" s="41"/>
      <c r="U21" s="42" t="n">
        <f aca="false">SUM(Q21)</f>
        <v>36</v>
      </c>
      <c r="V21" s="90" t="n">
        <f aca="false">SUM(R21)</f>
        <v>50272.86</v>
      </c>
      <c r="W21" s="35" t="n">
        <f aca="false">SUM(M21,Q21)</f>
        <v>43</v>
      </c>
      <c r="X21" s="44" t="n">
        <f aca="false">SUM(N21,R21)</f>
        <v>59622.86</v>
      </c>
      <c r="Y21" s="45"/>
      <c r="Z21" s="40" t="n">
        <v>659</v>
      </c>
      <c r="AA21" s="40" t="s">
        <v>865</v>
      </c>
    </row>
    <row r="22" customFormat="false" ht="22.35" hidden="false" customHeight="false" outlineLevel="0" collapsed="false">
      <c r="A22" s="100" t="s">
        <v>865</v>
      </c>
      <c r="B22" s="100" t="s"/>
      <c r="C22" s="49" t="n">
        <v>1</v>
      </c>
      <c r="D22" s="50" t="n">
        <v>1800</v>
      </c>
      <c r="E22" s="51"/>
      <c r="F22" s="52"/>
      <c r="G22" s="103" t="s">
        <v>866</v>
      </c>
      <c r="H22" s="104" t="s">
        <v>867</v>
      </c>
      <c r="I22" s="54" t="n">
        <v>6</v>
      </c>
      <c r="J22" s="56" t="n">
        <v>2050</v>
      </c>
      <c r="K22" s="55"/>
      <c r="L22" s="57"/>
      <c r="M22" s="35" t="n">
        <f aca="false">SUM(C22,I22)</f>
        <v>7</v>
      </c>
      <c r="N22" s="36" t="n">
        <f aca="false">SUM(D22,J22)</f>
        <v>3850</v>
      </c>
      <c r="O22" s="88" t="s">
        <v>868</v>
      </c>
      <c r="P22" s="89" t="s">
        <v>869</v>
      </c>
      <c r="Q22" s="60" t="n">
        <v>37</v>
      </c>
      <c r="R22" s="61" t="n">
        <v>84398.7</v>
      </c>
      <c r="S22" s="62"/>
      <c r="T22" s="63"/>
      <c r="U22" s="105"/>
      <c r="V22" s="106"/>
      <c r="W22" s="35" t="n">
        <f aca="false">SUM(M22,Q22)</f>
        <v>44</v>
      </c>
      <c r="X22" s="44" t="n">
        <f aca="false">SUM(N22,R22)</f>
        <v>88248.7</v>
      </c>
      <c r="Y22" s="45"/>
      <c r="Z22" s="40" t="n">
        <v>666</v>
      </c>
      <c r="AA22" s="40" t="s">
        <v>870</v>
      </c>
    </row>
    <row r="23" customFormat="false" ht="22.35" hidden="false" customHeight="false" outlineLevel="0" collapsed="false">
      <c r="A23" s="100" t="s">
        <v>870</v>
      </c>
      <c r="B23" s="100" t="s"/>
      <c r="C23" s="49" t="n">
        <v>3</v>
      </c>
      <c r="D23" s="50" t="n">
        <v>4300</v>
      </c>
      <c r="E23" s="51"/>
      <c r="F23" s="52"/>
      <c r="G23" s="103" t="s">
        <v>871</v>
      </c>
      <c r="H23" s="54" t="s">
        <v>38</v>
      </c>
      <c r="I23" s="54" t="n">
        <v>1</v>
      </c>
      <c r="J23" s="56" t="n">
        <v>1400</v>
      </c>
      <c r="K23" s="55"/>
      <c r="L23" s="57"/>
      <c r="M23" s="35" t="n">
        <f aca="false">SUM(C23,I23)</f>
        <v>4</v>
      </c>
      <c r="N23" s="36" t="n">
        <f aca="false">SUM(D23,J23)</f>
        <v>5700</v>
      </c>
      <c r="O23" s="88" t="s">
        <v>872</v>
      </c>
      <c r="P23" s="89" t="s">
        <v>873</v>
      </c>
      <c r="Q23" s="60" t="n">
        <v>19</v>
      </c>
      <c r="R23" s="61" t="n">
        <v>36321.01</v>
      </c>
      <c r="S23" s="62"/>
      <c r="T23" s="63"/>
      <c r="U23" s="105"/>
      <c r="V23" s="106"/>
      <c r="W23" s="35" t="n">
        <f aca="false">SUM(M23,Q23)</f>
        <v>23</v>
      </c>
      <c r="X23" s="44" t="n">
        <f aca="false">SUM(N23,R23)</f>
        <v>42021.01</v>
      </c>
      <c r="Y23" s="45"/>
      <c r="Z23" s="40" t="n">
        <v>671</v>
      </c>
      <c r="AA23" s="40" t="s">
        <v>874</v>
      </c>
    </row>
    <row r="24" customFormat="false" ht="19.7" hidden="false" customHeight="false" outlineLevel="0" collapsed="false">
      <c r="A24" s="66" t="s">
        <v>122</v>
      </c>
      <c r="B24" s="66" t="s"/>
      <c r="C24" s="67" t="n">
        <f aca="false">SUM(C6:C23)</f>
        <v>85</v>
      </c>
      <c r="D24" s="68" t="n">
        <f aca="false">SUM(D6:D23)</f>
        <v>559130</v>
      </c>
      <c r="E24" s="69" t="n">
        <f aca="false">SUM(E6:E21)</f>
        <v>0</v>
      </c>
      <c r="F24" s="70" t="n">
        <f aca="false">SUM(F6:F21)</f>
        <v>0</v>
      </c>
      <c r="G24" s="71" t="s">
        <v>122</v>
      </c>
      <c r="H24" s="71"/>
      <c r="I24" s="72" t="n">
        <f aca="false">SUM(I6:I23)</f>
        <v>87</v>
      </c>
      <c r="J24" s="68" t="n">
        <f aca="false">SUM(J6:J23)</f>
        <v>38900</v>
      </c>
      <c r="K24" s="69" t="n">
        <f aca="false">SUM(K6:K21)</f>
        <v>0</v>
      </c>
      <c r="L24" s="70"/>
      <c r="M24" s="73" t="n">
        <f aca="false">SUM(M6:M23)</f>
        <v>172</v>
      </c>
      <c r="N24" s="74" t="n">
        <f aca="false">SUM(N6:N23)</f>
        <v>598030</v>
      </c>
      <c r="O24" s="71" t="s">
        <v>122</v>
      </c>
      <c r="P24" s="71"/>
      <c r="Q24" s="75" t="n">
        <f aca="false">SUM(Q6:Q23)</f>
        <v>884</v>
      </c>
      <c r="R24" s="76" t="n">
        <f aca="false">SUM(R6:R23)</f>
        <v>1567557.64</v>
      </c>
      <c r="S24" s="69" t="n">
        <f aca="false">SUM(S6:S21)</f>
        <v>0</v>
      </c>
      <c r="T24" s="70" t="n">
        <f aca="false">SUM(T6:T21)</f>
        <v>0</v>
      </c>
      <c r="U24" s="93" t="n">
        <f aca="false">SUM(U6:U21)</f>
        <v>828</v>
      </c>
      <c r="V24" s="94" t="n">
        <f aca="false">SUM(V6:V21)</f>
        <v>1446837.93</v>
      </c>
      <c r="W24" s="73" t="n">
        <f aca="false">SUM(W6:W23)</f>
        <v>1056</v>
      </c>
      <c r="X24" s="79" t="n">
        <f aca="false">SUM(X6:X23)</f>
        <v>2165587.64</v>
      </c>
      <c r="Y24" s="80"/>
      <c r="Z24" s="81"/>
      <c r="AA24" s="81"/>
    </row>
    <row r="25" customFormat="false" ht="15.75" hidden="false" customHeight="false" outlineLevel="0" collapsed="false">
      <c r="A25" s="2"/>
      <c r="B25" s="2"/>
      <c r="C25" s="2"/>
      <c r="D25" s="82"/>
      <c r="E25" s="2"/>
      <c r="F25" s="2"/>
      <c r="G25" s="2"/>
      <c r="H25" s="2"/>
      <c r="I25" s="3"/>
      <c r="J25" s="3"/>
      <c r="K25" s="2"/>
      <c r="L25" s="2"/>
      <c r="M25" s="2"/>
      <c r="N25" s="2"/>
      <c r="O25" s="2"/>
      <c r="P25" s="2"/>
      <c r="Q25" s="3"/>
      <c r="R25" s="3"/>
      <c r="S25" s="2"/>
      <c r="T25" s="2"/>
      <c r="U25" s="2"/>
      <c r="V25" s="2"/>
      <c r="W25" s="2"/>
      <c r="X25" s="2"/>
      <c r="Y25" s="65"/>
      <c r="Z25" s="2"/>
      <c r="AA25" s="2"/>
    </row>
    <row r="26" customFormat="false" ht="15.75" hidden="false" customHeight="false" outlineLevel="0" collapsed="false">
      <c r="A26" s="2"/>
      <c r="B26" s="2"/>
      <c r="C26" s="2"/>
      <c r="D26" s="3"/>
      <c r="E26" s="2"/>
      <c r="F26" s="2"/>
      <c r="G26" s="2"/>
      <c r="H26" s="2"/>
      <c r="I26" s="3"/>
      <c r="J26" s="3"/>
      <c r="K26" s="2"/>
      <c r="L26" s="2"/>
      <c r="M26" s="2"/>
      <c r="N26" s="2"/>
      <c r="O26" s="2"/>
      <c r="P26" s="2"/>
      <c r="Q26" s="3"/>
      <c r="R26" s="3"/>
      <c r="S26" s="2"/>
      <c r="T26" s="2"/>
      <c r="U26" s="2"/>
      <c r="V26" s="2"/>
      <c r="W26" s="2"/>
      <c r="X26" s="2"/>
      <c r="Y26" s="65"/>
      <c r="Z26" s="2"/>
      <c r="AA26" s="2"/>
    </row>
    <row r="27" customFormat="false" ht="15.75" hidden="false" customHeight="false" outlineLevel="0" collapsed="false">
      <c r="A27" s="2"/>
      <c r="B27" s="2"/>
      <c r="C27" s="2"/>
      <c r="D27" s="3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5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5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5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5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</sheetData>
  <mergeCells count="32">
    <mergeCell ref="A1:AA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A3:AA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G24:H24"/>
    <mergeCell ref="O24:P24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>
  <sheetPr filterMode="false">
    <outlinePr summaryBelow="0"/>
    <pageSetUpPr fitToPage="true"/>
  </sheetPr>
  <dimension ref="A1:AA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875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3" t="s">
        <v>11</v>
      </c>
      <c r="D4" s="14" t="s">
        <v>12</v>
      </c>
      <c r="E4" s="15" t="s">
        <v>13</v>
      </c>
      <c r="F4" s="15"/>
      <c r="G4" s="16" t="s">
        <v>14</v>
      </c>
      <c r="H4" s="17" t="s">
        <v>15</v>
      </c>
      <c r="I4" s="18" t="s">
        <v>11</v>
      </c>
      <c r="J4" s="18" t="s">
        <v>12</v>
      </c>
      <c r="K4" s="19" t="s">
        <v>16</v>
      </c>
      <c r="L4" s="19"/>
      <c r="M4" s="20" t="s">
        <v>17</v>
      </c>
      <c r="N4" s="21" t="s">
        <v>18</v>
      </c>
      <c r="O4" s="22" t="s">
        <v>14</v>
      </c>
      <c r="P4" s="23" t="s">
        <v>15</v>
      </c>
      <c r="Q4" s="23" t="s">
        <v>11</v>
      </c>
      <c r="R4" s="23" t="s">
        <v>12</v>
      </c>
      <c r="S4" s="24" t="s">
        <v>13</v>
      </c>
      <c r="T4" s="24"/>
      <c r="U4" s="9" t="s">
        <v>17</v>
      </c>
      <c r="V4" s="25" t="s">
        <v>18</v>
      </c>
      <c r="W4" s="20" t="s">
        <v>17</v>
      </c>
      <c r="X4" s="21" t="s">
        <v>18</v>
      </c>
      <c r="Y4" s="10"/>
      <c r="Z4" s="11"/>
      <c r="AA4" s="11"/>
    </row>
    <row r="5" customFormat="false" ht="19.7" hidden="false" customHeight="false" outlineLevel="0" collapsed="false">
      <c r="A5" s="4"/>
      <c r="B5" s="4"/>
      <c r="C5" s="13"/>
      <c r="D5" s="14"/>
      <c r="E5" s="14" t="s">
        <v>19</v>
      </c>
      <c r="F5" s="15" t="s">
        <v>20</v>
      </c>
      <c r="G5" s="16"/>
      <c r="H5" s="17"/>
      <c r="I5" s="17"/>
      <c r="J5" s="17"/>
      <c r="K5" s="17" t="s">
        <v>19</v>
      </c>
      <c r="L5" s="19" t="s">
        <v>20</v>
      </c>
      <c r="M5" s="20"/>
      <c r="N5" s="21"/>
      <c r="O5" s="22"/>
      <c r="P5" s="23"/>
      <c r="Q5" s="23"/>
      <c r="R5" s="23"/>
      <c r="S5" s="23" t="s">
        <v>11</v>
      </c>
      <c r="T5" s="24" t="s">
        <v>20</v>
      </c>
      <c r="U5" s="9"/>
      <c r="V5" s="25"/>
      <c r="W5" s="20"/>
      <c r="X5" s="21"/>
      <c r="Y5" s="10"/>
      <c r="Z5" s="11"/>
      <c r="AA5" s="11"/>
    </row>
    <row r="6" customFormat="false" ht="22.35" hidden="false" customHeight="false" outlineLevel="0" collapsed="false">
      <c r="A6" s="100" t="s">
        <v>876</v>
      </c>
      <c r="B6" s="100" t="s"/>
      <c r="C6" s="27" t="n">
        <v>8</v>
      </c>
      <c r="D6" s="28" t="n">
        <v>3750</v>
      </c>
      <c r="E6" s="29"/>
      <c r="F6" s="30"/>
      <c r="G6" s="83" t="s">
        <v>877</v>
      </c>
      <c r="H6" s="98" t="s">
        <v>878</v>
      </c>
      <c r="I6" s="84" t="n">
        <v>2</v>
      </c>
      <c r="J6" s="33" t="n">
        <v>700</v>
      </c>
      <c r="K6" s="46"/>
      <c r="L6" s="34"/>
      <c r="M6" s="35" t="n">
        <f aca="false">SUM(C6,I6)</f>
        <v>10</v>
      </c>
      <c r="N6" s="36" t="n">
        <f aca="false">SUM(D6,J6)</f>
        <v>4450</v>
      </c>
      <c r="O6" s="38" t="s">
        <v>879</v>
      </c>
      <c r="P6" s="38" t="s">
        <v>880</v>
      </c>
      <c r="Q6" s="38" t="n">
        <v>49</v>
      </c>
      <c r="R6" s="39" t="n">
        <v>63594.97</v>
      </c>
      <c r="S6" s="40"/>
      <c r="T6" s="41"/>
      <c r="U6" s="42" t="n">
        <f aca="false">SUM(Q6)</f>
        <v>49</v>
      </c>
      <c r="V6" s="90" t="n">
        <f aca="false">SUM(R6)</f>
        <v>63594.97</v>
      </c>
      <c r="W6" s="35" t="n">
        <f aca="false">SUM(M6,Q6)</f>
        <v>59</v>
      </c>
      <c r="X6" s="44" t="n">
        <f aca="false">SUM(N6,R6)</f>
        <v>68044.97</v>
      </c>
      <c r="Y6" s="45"/>
      <c r="Z6" s="40" t="n">
        <v>677</v>
      </c>
      <c r="AA6" s="40" t="s">
        <v>881</v>
      </c>
    </row>
    <row r="7" customFormat="false" ht="22.35" hidden="false" customHeight="false" outlineLevel="0" collapsed="false">
      <c r="A7" s="100" t="s">
        <v>882</v>
      </c>
      <c r="B7" s="100" t="s"/>
      <c r="C7" s="27" t="n">
        <v>2</v>
      </c>
      <c r="D7" s="28" t="n">
        <v>3100</v>
      </c>
      <c r="E7" s="29"/>
      <c r="F7" s="30"/>
      <c r="G7" s="83" t="s">
        <v>883</v>
      </c>
      <c r="H7" s="32" t="s">
        <v>883</v>
      </c>
      <c r="I7" s="84" t="n">
        <v>1</v>
      </c>
      <c r="J7" s="33" t="n">
        <v>1000</v>
      </c>
      <c r="K7" s="46"/>
      <c r="L7" s="34"/>
      <c r="M7" s="35" t="n">
        <f aca="false">SUM(C7,I7)</f>
        <v>3</v>
      </c>
      <c r="N7" s="36" t="n">
        <f aca="false">SUM(D7,J7)</f>
        <v>4100</v>
      </c>
      <c r="O7" s="38" t="s">
        <v>884</v>
      </c>
      <c r="P7" s="38" t="s">
        <v>885</v>
      </c>
      <c r="Q7" s="38" t="n">
        <v>50</v>
      </c>
      <c r="R7" s="39" t="n">
        <v>77651.3</v>
      </c>
      <c r="S7" s="40"/>
      <c r="T7" s="41"/>
      <c r="U7" s="42" t="n">
        <f aca="false">SUM(Q7)</f>
        <v>50</v>
      </c>
      <c r="V7" s="90" t="n">
        <f aca="false">SUM(R7)</f>
        <v>77651.3</v>
      </c>
      <c r="W7" s="35" t="n">
        <f aca="false">SUM(M7,Q7)</f>
        <v>53</v>
      </c>
      <c r="X7" s="44" t="n">
        <f aca="false">SUM(N7,R7)</f>
        <v>81751.3</v>
      </c>
      <c r="Y7" s="45"/>
      <c r="Z7" s="40" t="n">
        <v>683</v>
      </c>
      <c r="AA7" s="40" t="s">
        <v>886</v>
      </c>
    </row>
    <row r="8" customFormat="false" ht="22.35" hidden="false" customHeight="false" outlineLevel="0" collapsed="false">
      <c r="A8" s="100" t="s">
        <v>886</v>
      </c>
      <c r="B8" s="100" t="s"/>
      <c r="C8" s="27" t="n">
        <v>2</v>
      </c>
      <c r="D8" s="28" t="n">
        <v>400</v>
      </c>
      <c r="E8" s="29"/>
      <c r="F8" s="30"/>
      <c r="G8" s="83" t="s">
        <v>887</v>
      </c>
      <c r="H8" s="32" t="s">
        <v>888</v>
      </c>
      <c r="I8" s="84" t="n">
        <v>3</v>
      </c>
      <c r="J8" s="33" t="n">
        <v>600</v>
      </c>
      <c r="K8" s="46"/>
      <c r="L8" s="34"/>
      <c r="M8" s="35" t="n">
        <f aca="false">SUM(C8,I8)</f>
        <v>5</v>
      </c>
      <c r="N8" s="36" t="n">
        <f aca="false">SUM(D8,J8)</f>
        <v>1000</v>
      </c>
      <c r="O8" s="38" t="s">
        <v>889</v>
      </c>
      <c r="P8" s="38" t="s">
        <v>890</v>
      </c>
      <c r="Q8" s="38" t="n">
        <v>28</v>
      </c>
      <c r="R8" s="39" t="n">
        <v>36790.8</v>
      </c>
      <c r="S8" s="40"/>
      <c r="T8" s="41"/>
      <c r="U8" s="42" t="n">
        <f aca="false">SUM(Q8)</f>
        <v>28</v>
      </c>
      <c r="V8" s="90" t="n">
        <f aca="false">SUM(R8)</f>
        <v>36790.8</v>
      </c>
      <c r="W8" s="35" t="n">
        <f aca="false">SUM(M8,Q8)</f>
        <v>33</v>
      </c>
      <c r="X8" s="44" t="n">
        <f aca="false">SUM(N8,R8)</f>
        <v>37790.8</v>
      </c>
      <c r="Y8" s="96"/>
      <c r="Z8" s="40" t="n">
        <v>690</v>
      </c>
      <c r="AA8" s="40" t="s">
        <v>891</v>
      </c>
    </row>
    <row r="9" customFormat="false" ht="22.35" hidden="false" customHeight="false" outlineLevel="0" collapsed="false">
      <c r="A9" s="100" t="s">
        <v>892</v>
      </c>
      <c r="B9" s="100" t="s"/>
      <c r="C9" s="27" t="n">
        <v>8</v>
      </c>
      <c r="D9" s="28" t="n">
        <v>5300</v>
      </c>
      <c r="E9" s="29"/>
      <c r="F9" s="30"/>
      <c r="G9" s="83" t="s">
        <v>893</v>
      </c>
      <c r="H9" s="32" t="s">
        <v>894</v>
      </c>
      <c r="I9" s="84" t="n">
        <v>4</v>
      </c>
      <c r="J9" s="33" t="n">
        <v>800</v>
      </c>
      <c r="K9" s="46"/>
      <c r="L9" s="34"/>
      <c r="M9" s="35" t="n">
        <f aca="false">SUM(C9,I9)</f>
        <v>12</v>
      </c>
      <c r="N9" s="36" t="n">
        <f aca="false">SUM(D9,J9)</f>
        <v>6100</v>
      </c>
      <c r="O9" s="38" t="s">
        <v>895</v>
      </c>
      <c r="P9" s="38" t="s">
        <v>896</v>
      </c>
      <c r="Q9" s="38" t="n">
        <v>37</v>
      </c>
      <c r="R9" s="39" t="n">
        <v>97217</v>
      </c>
      <c r="S9" s="40"/>
      <c r="T9" s="41"/>
      <c r="U9" s="42" t="n">
        <f aca="false">SUM(Q9)</f>
        <v>37</v>
      </c>
      <c r="V9" s="90" t="n">
        <f aca="false">SUM(R9)</f>
        <v>97217</v>
      </c>
      <c r="W9" s="35" t="n">
        <f aca="false">SUM(M9,Q9)</f>
        <v>49</v>
      </c>
      <c r="X9" s="44" t="n">
        <f aca="false">SUM(N9,R9)</f>
        <v>103317</v>
      </c>
      <c r="Y9" s="45"/>
      <c r="Z9" s="40" t="n">
        <v>695</v>
      </c>
      <c r="AA9" s="40" t="s">
        <v>897</v>
      </c>
    </row>
    <row r="10" customFormat="false" ht="22.35" hidden="false" customHeight="false" outlineLevel="0" collapsed="false">
      <c r="A10" s="100" t="s">
        <v>897</v>
      </c>
      <c r="B10" s="100" t="s"/>
      <c r="C10" s="27" t="n">
        <v>8</v>
      </c>
      <c r="D10" s="28" t="n">
        <v>4700</v>
      </c>
      <c r="E10" s="29"/>
      <c r="F10" s="30"/>
      <c r="G10" s="83" t="s">
        <v>898</v>
      </c>
      <c r="H10" s="32" t="s">
        <v>899</v>
      </c>
      <c r="I10" s="84" t="n">
        <v>5</v>
      </c>
      <c r="J10" s="33" t="n">
        <v>3300</v>
      </c>
      <c r="K10" s="46"/>
      <c r="L10" s="34"/>
      <c r="M10" s="35" t="n">
        <f aca="false">SUM(C10,I10)</f>
        <v>13</v>
      </c>
      <c r="N10" s="36" t="n">
        <f aca="false">SUM(D10,J10)</f>
        <v>8000</v>
      </c>
      <c r="O10" s="38" t="s">
        <v>900</v>
      </c>
      <c r="P10" s="38" t="s">
        <v>901</v>
      </c>
      <c r="Q10" s="38" t="n">
        <v>27</v>
      </c>
      <c r="R10" s="39" t="n">
        <v>65629.8</v>
      </c>
      <c r="S10" s="40"/>
      <c r="T10" s="41"/>
      <c r="U10" s="42" t="n">
        <f aca="false">SUM(Q10)</f>
        <v>27</v>
      </c>
      <c r="V10" s="90" t="n">
        <f aca="false">SUM(R10)</f>
        <v>65629.8</v>
      </c>
      <c r="W10" s="35" t="n">
        <f aca="false">SUM(M10,Q10)</f>
        <v>40</v>
      </c>
      <c r="X10" s="44" t="n">
        <f aca="false">SUM(N10,R10)</f>
        <v>73629.8</v>
      </c>
      <c r="Y10" s="45"/>
      <c r="Z10" s="40" t="n">
        <v>702</v>
      </c>
      <c r="AA10" s="40" t="s">
        <v>902</v>
      </c>
    </row>
    <row r="11" customFormat="false" ht="22.35" hidden="false" customHeight="false" outlineLevel="0" collapsed="false">
      <c r="A11" s="100" t="s">
        <v>902</v>
      </c>
      <c r="B11" s="100" t="s"/>
      <c r="C11" s="27" t="s">
        <v>38</v>
      </c>
      <c r="D11" s="28" t="s">
        <v>38</v>
      </c>
      <c r="E11" s="29"/>
      <c r="F11" s="30"/>
      <c r="G11" s="83" t="s">
        <v>903</v>
      </c>
      <c r="H11" s="32" t="s">
        <v>903</v>
      </c>
      <c r="I11" s="84" t="n">
        <v>1</v>
      </c>
      <c r="J11" s="33" t="n">
        <v>200</v>
      </c>
      <c r="K11" s="46"/>
      <c r="L11" s="34"/>
      <c r="M11" s="35" t="n">
        <f aca="false">SUM(C11,I11)</f>
        <v>1</v>
      </c>
      <c r="N11" s="36" t="n">
        <f aca="false">SUM(D11,J11)</f>
        <v>200</v>
      </c>
      <c r="O11" s="38" t="s">
        <v>904</v>
      </c>
      <c r="P11" s="38" t="s">
        <v>905</v>
      </c>
      <c r="Q11" s="38" t="n">
        <v>33</v>
      </c>
      <c r="R11" s="39" t="n">
        <v>43927.6</v>
      </c>
      <c r="S11" s="40"/>
      <c r="T11" s="41"/>
      <c r="U11" s="42" t="n">
        <f aca="false">SUM(Q11)</f>
        <v>33</v>
      </c>
      <c r="V11" s="90" t="n">
        <f aca="false">SUM(R11)</f>
        <v>43927.6</v>
      </c>
      <c r="W11" s="35" t="n">
        <f aca="false">SUM(M11,Q11)</f>
        <v>34</v>
      </c>
      <c r="X11" s="44" t="n">
        <f aca="false">SUM(N11,R11)</f>
        <v>44127.6</v>
      </c>
      <c r="Y11" s="45"/>
      <c r="Z11" s="40" t="n">
        <v>709</v>
      </c>
      <c r="AA11" s="40" t="s">
        <v>906</v>
      </c>
    </row>
    <row r="12" customFormat="false" ht="22.35" hidden="false" customHeight="false" outlineLevel="0" collapsed="false">
      <c r="A12" s="100" t="s">
        <v>906</v>
      </c>
      <c r="B12" s="100" t="s"/>
      <c r="C12" s="27" t="n">
        <v>14</v>
      </c>
      <c r="D12" s="28" t="n">
        <v>5900</v>
      </c>
      <c r="E12" s="29"/>
      <c r="F12" s="30"/>
      <c r="G12" s="83" t="s">
        <v>907</v>
      </c>
      <c r="H12" s="32" t="s">
        <v>908</v>
      </c>
      <c r="I12" s="84" t="n">
        <v>9</v>
      </c>
      <c r="J12" s="33" t="n">
        <v>2600</v>
      </c>
      <c r="K12" s="46"/>
      <c r="L12" s="34"/>
      <c r="M12" s="35" t="n">
        <f aca="false">SUM(C12,I12)</f>
        <v>23</v>
      </c>
      <c r="N12" s="36" t="n">
        <f aca="false">SUM(D12,J12)</f>
        <v>8500</v>
      </c>
      <c r="O12" s="38" t="s">
        <v>909</v>
      </c>
      <c r="P12" s="38" t="s">
        <v>910</v>
      </c>
      <c r="Q12" s="38" t="n">
        <v>31</v>
      </c>
      <c r="R12" s="39" t="n">
        <v>51368</v>
      </c>
      <c r="S12" s="40"/>
      <c r="T12" s="41"/>
      <c r="U12" s="42" t="n">
        <f aca="false">SUM(Q12)</f>
        <v>31</v>
      </c>
      <c r="V12" s="90" t="n">
        <f aca="false">SUM(R12)</f>
        <v>51368</v>
      </c>
      <c r="W12" s="35" t="n">
        <f aca="false">SUM(M12,Q12)</f>
        <v>54</v>
      </c>
      <c r="X12" s="44" t="n">
        <f aca="false">SUM(N12,R12)</f>
        <v>59868</v>
      </c>
      <c r="Y12" s="45"/>
      <c r="Z12" s="40" t="n">
        <v>714</v>
      </c>
      <c r="AA12" s="40" t="s">
        <v>911</v>
      </c>
    </row>
    <row r="13" customFormat="false" ht="22.35" hidden="false" customHeight="false" outlineLevel="0" collapsed="false">
      <c r="A13" s="100" t="s">
        <v>911</v>
      </c>
      <c r="B13" s="100" t="s"/>
      <c r="C13" s="27" t="n">
        <v>6</v>
      </c>
      <c r="D13" s="28" t="n">
        <v>2650</v>
      </c>
      <c r="E13" s="29"/>
      <c r="F13" s="30"/>
      <c r="G13" s="83" t="s">
        <v>912</v>
      </c>
      <c r="H13" s="32" t="s">
        <v>913</v>
      </c>
      <c r="I13" s="84" t="n">
        <v>10</v>
      </c>
      <c r="J13" s="33" t="n">
        <v>4900</v>
      </c>
      <c r="K13" s="46"/>
      <c r="L13" s="34"/>
      <c r="M13" s="35" t="n">
        <f aca="false">SUM(C13,I13)</f>
        <v>16</v>
      </c>
      <c r="N13" s="36" t="n">
        <f aca="false">SUM(D13,J13)</f>
        <v>7550</v>
      </c>
      <c r="O13" s="38" t="s">
        <v>914</v>
      </c>
      <c r="P13" s="38" t="s">
        <v>915</v>
      </c>
      <c r="Q13" s="38" t="n">
        <v>22</v>
      </c>
      <c r="R13" s="39" t="n">
        <v>32571.3</v>
      </c>
      <c r="S13" s="40"/>
      <c r="T13" s="41"/>
      <c r="U13" s="42" t="n">
        <f aca="false">SUM(Q13)</f>
        <v>22</v>
      </c>
      <c r="V13" s="90" t="n">
        <f aca="false">SUM(R13)</f>
        <v>32571.3</v>
      </c>
      <c r="W13" s="35" t="n">
        <f aca="false">SUM(M13,Q13)</f>
        <v>38</v>
      </c>
      <c r="X13" s="44" t="n">
        <f aca="false">SUM(N13,R13)</f>
        <v>40121.3</v>
      </c>
      <c r="Y13" s="45"/>
      <c r="Z13" s="40" t="n">
        <v>721</v>
      </c>
      <c r="AA13" s="40" t="s">
        <v>916</v>
      </c>
    </row>
    <row r="14" customFormat="false" ht="22.35" hidden="false" customHeight="false" outlineLevel="0" collapsed="false">
      <c r="A14" s="100" t="s">
        <v>917</v>
      </c>
      <c r="B14" s="100" t="s"/>
      <c r="C14" s="27" t="n">
        <v>11</v>
      </c>
      <c r="D14" s="28" t="n">
        <v>3450</v>
      </c>
      <c r="E14" s="29"/>
      <c r="F14" s="30"/>
      <c r="G14" s="83" t="s">
        <v>918</v>
      </c>
      <c r="H14" s="32" t="s">
        <v>919</v>
      </c>
      <c r="I14" s="84" t="n">
        <v>5</v>
      </c>
      <c r="J14" s="33" t="n">
        <v>3600</v>
      </c>
      <c r="K14" s="46"/>
      <c r="L14" s="34"/>
      <c r="M14" s="35" t="n">
        <f aca="false">SUM(C14,I14)</f>
        <v>16</v>
      </c>
      <c r="N14" s="36" t="n">
        <f aca="false">SUM(D14,J14)</f>
        <v>7050</v>
      </c>
      <c r="O14" s="38" t="s">
        <v>920</v>
      </c>
      <c r="P14" s="38" t="s">
        <v>921</v>
      </c>
      <c r="Q14" s="38" t="n">
        <v>33</v>
      </c>
      <c r="R14" s="39" t="n">
        <v>88747</v>
      </c>
      <c r="S14" s="40"/>
      <c r="T14" s="41"/>
      <c r="U14" s="42" t="n">
        <f aca="false">SUM(Q14)</f>
        <v>33</v>
      </c>
      <c r="V14" s="90" t="n">
        <f aca="false">SUM(R14)</f>
        <v>88747</v>
      </c>
      <c r="W14" s="35" t="n">
        <f aca="false">SUM(M14,Q14)</f>
        <v>49</v>
      </c>
      <c r="X14" s="44" t="n">
        <f aca="false">SUM(N14,R14)</f>
        <v>95797</v>
      </c>
      <c r="Y14" s="45"/>
      <c r="Z14" s="40" t="n">
        <v>726</v>
      </c>
      <c r="AA14" s="40" t="s">
        <v>922</v>
      </c>
    </row>
    <row r="15" customFormat="false" ht="22.35" hidden="false" customHeight="false" outlineLevel="0" collapsed="false">
      <c r="A15" s="100" t="s">
        <v>922</v>
      </c>
      <c r="B15" s="100" t="s"/>
      <c r="C15" s="27" t="n">
        <v>4</v>
      </c>
      <c r="D15" s="28" t="n">
        <v>1600</v>
      </c>
      <c r="E15" s="29"/>
      <c r="F15" s="30"/>
      <c r="G15" s="83" t="s">
        <v>923</v>
      </c>
      <c r="H15" s="32" t="s">
        <v>923</v>
      </c>
      <c r="I15" s="84" t="n">
        <v>1</v>
      </c>
      <c r="J15" s="33" t="n">
        <v>3200</v>
      </c>
      <c r="K15" s="46"/>
      <c r="L15" s="34"/>
      <c r="M15" s="35" t="n">
        <f aca="false">SUM(C15,I15)</f>
        <v>5</v>
      </c>
      <c r="N15" s="36" t="n">
        <f aca="false">SUM(D15,J15)</f>
        <v>4800</v>
      </c>
      <c r="O15" s="38" t="s">
        <v>924</v>
      </c>
      <c r="P15" s="38" t="s">
        <v>925</v>
      </c>
      <c r="Q15" s="38" t="n">
        <v>34</v>
      </c>
      <c r="R15" s="39" t="n">
        <v>52122.5</v>
      </c>
      <c r="S15" s="40"/>
      <c r="T15" s="41"/>
      <c r="U15" s="42" t="n">
        <f aca="false">SUM(Q15)</f>
        <v>34</v>
      </c>
      <c r="V15" s="90" t="n">
        <f aca="false">SUM(R15)</f>
        <v>52122.5</v>
      </c>
      <c r="W15" s="35" t="n">
        <f aca="false">SUM(M15,Q15)</f>
        <v>39</v>
      </c>
      <c r="X15" s="44" t="n">
        <f aca="false">SUM(N15,R15)</f>
        <v>56922.5</v>
      </c>
      <c r="Y15" s="45"/>
      <c r="Z15" s="40" t="n">
        <v>733</v>
      </c>
      <c r="AA15" s="40" t="s">
        <v>926</v>
      </c>
    </row>
    <row r="16" customFormat="false" ht="22.35" hidden="false" customHeight="false" outlineLevel="0" collapsed="false">
      <c r="A16" s="100" t="s">
        <v>926</v>
      </c>
      <c r="B16" s="100" t="s"/>
      <c r="C16" s="27" t="s">
        <v>38</v>
      </c>
      <c r="D16" s="28" t="s">
        <v>38</v>
      </c>
      <c r="E16" s="29"/>
      <c r="F16" s="30"/>
      <c r="G16" s="32" t="s">
        <v>927</v>
      </c>
      <c r="H16" s="32" t="s">
        <v>928</v>
      </c>
      <c r="I16" s="84" t="n">
        <v>5</v>
      </c>
      <c r="J16" s="33" t="n">
        <v>4000</v>
      </c>
      <c r="K16" s="46"/>
      <c r="L16" s="34"/>
      <c r="M16" s="35" t="n">
        <f aca="false">SUM(C16,I16)</f>
        <v>5</v>
      </c>
      <c r="N16" s="36" t="n">
        <f aca="false">SUM(D16,J16)</f>
        <v>4000</v>
      </c>
      <c r="O16" s="38" t="s">
        <v>929</v>
      </c>
      <c r="P16" s="38" t="s">
        <v>930</v>
      </c>
      <c r="Q16" s="38" t="n">
        <v>42</v>
      </c>
      <c r="R16" s="39" t="n">
        <v>71673.8</v>
      </c>
      <c r="S16" s="40"/>
      <c r="T16" s="41"/>
      <c r="U16" s="42" t="n">
        <f aca="false">SUM(Q16)</f>
        <v>42</v>
      </c>
      <c r="V16" s="90" t="n">
        <f aca="false">SUM(R16)</f>
        <v>71673.8</v>
      </c>
      <c r="W16" s="35" t="n">
        <f aca="false">SUM(M16,Q16)</f>
        <v>47</v>
      </c>
      <c r="X16" s="44" t="n">
        <f aca="false">SUM(N16,R16)</f>
        <v>75673.8</v>
      </c>
      <c r="Y16" s="47"/>
      <c r="Z16" s="40" t="n">
        <v>738</v>
      </c>
      <c r="AA16" s="40" t="s">
        <v>931</v>
      </c>
    </row>
    <row r="17" customFormat="false" ht="22.35" hidden="false" customHeight="false" outlineLevel="0" collapsed="false">
      <c r="A17" s="100" t="s">
        <v>931</v>
      </c>
      <c r="B17" s="100" t="s"/>
      <c r="C17" s="27" t="n">
        <v>2</v>
      </c>
      <c r="D17" s="28" t="n">
        <v>1200</v>
      </c>
      <c r="E17" s="29"/>
      <c r="F17" s="30"/>
      <c r="G17" s="83" t="s">
        <v>932</v>
      </c>
      <c r="H17" s="32" t="s">
        <v>933</v>
      </c>
      <c r="I17" s="84" t="n">
        <v>4</v>
      </c>
      <c r="J17" s="33" t="n">
        <v>800</v>
      </c>
      <c r="K17" s="46"/>
      <c r="L17" s="34"/>
      <c r="M17" s="35" t="n">
        <f aca="false">SUM(C17,I17)</f>
        <v>6</v>
      </c>
      <c r="N17" s="36" t="n">
        <f aca="false">SUM(D17,J17)</f>
        <v>2000</v>
      </c>
      <c r="O17" s="38" t="s">
        <v>934</v>
      </c>
      <c r="P17" s="38" t="s">
        <v>935</v>
      </c>
      <c r="Q17" s="38" t="n">
        <v>22</v>
      </c>
      <c r="R17" s="39" t="n">
        <v>32228.4</v>
      </c>
      <c r="S17" s="40"/>
      <c r="T17" s="41"/>
      <c r="U17" s="42" t="n">
        <f aca="false">SUM(Q17)</f>
        <v>22</v>
      </c>
      <c r="V17" s="90" t="n">
        <f aca="false">SUM(R17)</f>
        <v>32228.4</v>
      </c>
      <c r="W17" s="35" t="n">
        <f aca="false">SUM(M17,Q17)</f>
        <v>28</v>
      </c>
      <c r="X17" s="44" t="n">
        <f aca="false">SUM(N17,R17)</f>
        <v>34228.4</v>
      </c>
      <c r="Y17" s="47"/>
      <c r="Z17" s="40" t="n">
        <v>744</v>
      </c>
      <c r="AA17" s="40" t="s">
        <v>936</v>
      </c>
    </row>
    <row r="18" customFormat="false" ht="22.35" hidden="false" customHeight="false" outlineLevel="0" collapsed="false">
      <c r="A18" s="100" t="s">
        <v>936</v>
      </c>
      <c r="B18" s="100" t="s"/>
      <c r="C18" s="27" t="n">
        <v>2</v>
      </c>
      <c r="D18" s="28" t="n">
        <v>1200</v>
      </c>
      <c r="E18" s="29"/>
      <c r="F18" s="30"/>
      <c r="G18" s="83" t="s">
        <v>937</v>
      </c>
      <c r="H18" s="32" t="s">
        <v>938</v>
      </c>
      <c r="I18" s="84" t="n">
        <v>5</v>
      </c>
      <c r="J18" s="33" t="n">
        <v>26350</v>
      </c>
      <c r="K18" s="46"/>
      <c r="L18" s="34"/>
      <c r="M18" s="35" t="n">
        <f aca="false">SUM(C18,I18)</f>
        <v>7</v>
      </c>
      <c r="N18" s="36" t="n">
        <f aca="false">SUM(D18,J18)</f>
        <v>27550</v>
      </c>
      <c r="O18" s="38" t="s">
        <v>939</v>
      </c>
      <c r="P18" s="38" t="s">
        <v>940</v>
      </c>
      <c r="Q18" s="38" t="n">
        <v>23</v>
      </c>
      <c r="R18" s="39" t="n">
        <v>29812</v>
      </c>
      <c r="S18" s="40"/>
      <c r="T18" s="41"/>
      <c r="U18" s="42" t="n">
        <f aca="false">SUM(Q18)</f>
        <v>23</v>
      </c>
      <c r="V18" s="90" t="n">
        <f aca="false">SUM(R18)</f>
        <v>29812</v>
      </c>
      <c r="W18" s="35" t="n">
        <f aca="false">SUM(M18,Q18)</f>
        <v>30</v>
      </c>
      <c r="X18" s="44" t="n">
        <f aca="false">SUM(N18,R18)</f>
        <v>57362</v>
      </c>
      <c r="Y18" s="45"/>
      <c r="Z18" s="40" t="n">
        <v>752</v>
      </c>
      <c r="AA18" s="40" t="s">
        <v>941</v>
      </c>
    </row>
    <row r="19" customFormat="false" ht="22.35" hidden="false" customHeight="false" outlineLevel="0" collapsed="false">
      <c r="A19" s="100" t="s">
        <v>942</v>
      </c>
      <c r="B19" s="100" t="s"/>
      <c r="C19" s="27" t="n">
        <v>1</v>
      </c>
      <c r="D19" s="28" t="n">
        <v>7400</v>
      </c>
      <c r="E19" s="29"/>
      <c r="F19" s="30"/>
      <c r="G19" s="83" t="s">
        <v>943</v>
      </c>
      <c r="H19" s="32" t="s">
        <v>944</v>
      </c>
      <c r="I19" s="84" t="n">
        <v>3</v>
      </c>
      <c r="J19" s="33" t="n">
        <v>1300</v>
      </c>
      <c r="K19" s="46"/>
      <c r="L19" s="34"/>
      <c r="M19" s="35" t="n">
        <f aca="false">SUM(C19,I19)</f>
        <v>4</v>
      </c>
      <c r="N19" s="36" t="n">
        <f aca="false">SUM(D19,J19)</f>
        <v>8700</v>
      </c>
      <c r="O19" s="38" t="s">
        <v>945</v>
      </c>
      <c r="P19" s="38" t="s">
        <v>946</v>
      </c>
      <c r="Q19" s="38" t="n">
        <v>49</v>
      </c>
      <c r="R19" s="39" t="n">
        <v>89703.1</v>
      </c>
      <c r="S19" s="40"/>
      <c r="T19" s="41"/>
      <c r="U19" s="42" t="n">
        <f aca="false">SUM(Q19)</f>
        <v>49</v>
      </c>
      <c r="V19" s="90" t="n">
        <f aca="false">SUM(R19)</f>
        <v>89703.1</v>
      </c>
      <c r="W19" s="35" t="n">
        <f aca="false">SUM(M19,Q19)</f>
        <v>53</v>
      </c>
      <c r="X19" s="44" t="n">
        <f aca="false">SUM(N19,R19)</f>
        <v>98403.1</v>
      </c>
      <c r="Y19" s="45"/>
      <c r="Z19" s="40" t="n">
        <v>757</v>
      </c>
      <c r="AA19" s="40" t="s">
        <v>947</v>
      </c>
    </row>
    <row r="20" customFormat="false" ht="22.35" hidden="false" customHeight="false" outlineLevel="0" collapsed="false">
      <c r="A20" s="100" t="s">
        <v>947</v>
      </c>
      <c r="B20" s="100" t="s"/>
      <c r="C20" s="27" t="n">
        <v>3</v>
      </c>
      <c r="D20" s="28" t="n">
        <v>1700</v>
      </c>
      <c r="E20" s="29"/>
      <c r="F20" s="30"/>
      <c r="G20" s="83" t="s">
        <v>948</v>
      </c>
      <c r="H20" s="32" t="s">
        <v>949</v>
      </c>
      <c r="I20" s="84" t="n">
        <v>3</v>
      </c>
      <c r="J20" s="33" t="n">
        <v>3800</v>
      </c>
      <c r="K20" s="46"/>
      <c r="L20" s="34"/>
      <c r="M20" s="35" t="n">
        <f aca="false">SUM(C20,I20)</f>
        <v>6</v>
      </c>
      <c r="N20" s="36" t="n">
        <f aca="false">SUM(D20,J20)</f>
        <v>5500</v>
      </c>
      <c r="O20" s="38" t="s">
        <v>950</v>
      </c>
      <c r="P20" s="38" t="s">
        <v>951</v>
      </c>
      <c r="Q20" s="38" t="n">
        <v>38</v>
      </c>
      <c r="R20" s="39" t="n">
        <v>56517.6</v>
      </c>
      <c r="S20" s="40"/>
      <c r="T20" s="41"/>
      <c r="U20" s="42" t="n">
        <f aca="false">SUM(Q20)</f>
        <v>38</v>
      </c>
      <c r="V20" s="90" t="n">
        <f aca="false">SUM(R20)</f>
        <v>56517.6</v>
      </c>
      <c r="W20" s="35" t="n">
        <f aca="false">SUM(M20,Q20)</f>
        <v>44</v>
      </c>
      <c r="X20" s="44" t="n">
        <f aca="false">SUM(N20,R20)</f>
        <v>62017.6</v>
      </c>
      <c r="Y20" s="45"/>
      <c r="Z20" s="40" t="n">
        <v>769</v>
      </c>
      <c r="AA20" s="40" t="s">
        <v>952</v>
      </c>
    </row>
    <row r="21" customFormat="false" ht="22.35" hidden="false" customHeight="false" outlineLevel="0" collapsed="false">
      <c r="A21" s="100" t="s">
        <v>952</v>
      </c>
      <c r="B21" s="100" t="s"/>
      <c r="C21" s="27" t="n">
        <v>1</v>
      </c>
      <c r="D21" s="28" t="n">
        <v>600</v>
      </c>
      <c r="E21" s="29"/>
      <c r="F21" s="30"/>
      <c r="G21" s="83" t="s">
        <v>953</v>
      </c>
      <c r="H21" s="32" t="s">
        <v>954</v>
      </c>
      <c r="I21" s="84" t="n">
        <v>7</v>
      </c>
      <c r="J21" s="33" t="n">
        <v>4200</v>
      </c>
      <c r="K21" s="46"/>
      <c r="L21" s="34"/>
      <c r="M21" s="35" t="n">
        <f aca="false">SUM(C21,I21)</f>
        <v>8</v>
      </c>
      <c r="N21" s="36" t="n">
        <f aca="false">SUM(D21,J21)</f>
        <v>4800</v>
      </c>
      <c r="O21" s="37" t="s">
        <v>955</v>
      </c>
      <c r="P21" s="38" t="s">
        <v>956</v>
      </c>
      <c r="Q21" s="38" t="n">
        <v>33</v>
      </c>
      <c r="R21" s="39" t="n">
        <v>48564.3</v>
      </c>
      <c r="S21" s="40"/>
      <c r="T21" s="41"/>
      <c r="U21" s="42" t="n">
        <f aca="false">SUM(Q21)</f>
        <v>33</v>
      </c>
      <c r="V21" s="90" t="n">
        <f aca="false">SUM(R21)</f>
        <v>48564.3</v>
      </c>
      <c r="W21" s="35" t="n">
        <f aca="false">SUM(M21,Q21)</f>
        <v>41</v>
      </c>
      <c r="X21" s="44" t="n">
        <f aca="false">SUM(N21,R21)</f>
        <v>53364.3</v>
      </c>
      <c r="Y21" s="45"/>
      <c r="Z21" s="40" t="n">
        <v>774</v>
      </c>
      <c r="AA21" s="40" t="s">
        <v>957</v>
      </c>
    </row>
    <row r="22" customFormat="false" ht="22.35" hidden="false" customHeight="false" outlineLevel="0" collapsed="false">
      <c r="A22" s="100" t="s">
        <v>957</v>
      </c>
      <c r="B22" s="100" t="s"/>
      <c r="C22" s="49" t="n">
        <v>3</v>
      </c>
      <c r="D22" s="50" t="n">
        <v>1100</v>
      </c>
      <c r="E22" s="51"/>
      <c r="F22" s="52"/>
      <c r="G22" s="103" t="s">
        <v>958</v>
      </c>
      <c r="H22" s="104" t="s">
        <v>959</v>
      </c>
      <c r="I22" s="54" t="n">
        <v>2</v>
      </c>
      <c r="J22" s="56" t="n">
        <v>700</v>
      </c>
      <c r="K22" s="55"/>
      <c r="L22" s="57"/>
      <c r="M22" s="35" t="n">
        <f aca="false">SUM(C22,I22)</f>
        <v>5</v>
      </c>
      <c r="N22" s="36" t="n">
        <f aca="false">SUM(D22,J22)</f>
        <v>1800</v>
      </c>
      <c r="O22" s="88" t="s">
        <v>960</v>
      </c>
      <c r="P22" s="89" t="s">
        <v>961</v>
      </c>
      <c r="Q22" s="60" t="n">
        <v>16</v>
      </c>
      <c r="R22" s="61" t="n">
        <v>20018.8</v>
      </c>
      <c r="S22" s="62"/>
      <c r="T22" s="63"/>
      <c r="U22" s="105"/>
      <c r="V22" s="106"/>
      <c r="W22" s="35" t="n">
        <f aca="false">SUM(M22,Q22)</f>
        <v>21</v>
      </c>
      <c r="X22" s="44" t="n">
        <f aca="false">SUM(N22,R22)</f>
        <v>21818.8</v>
      </c>
      <c r="Y22" s="45"/>
      <c r="Z22" s="40" t="n">
        <v>781</v>
      </c>
      <c r="AA22" s="40" t="s">
        <v>962</v>
      </c>
    </row>
    <row r="23" customFormat="false" ht="22.35" hidden="false" customHeight="false" outlineLevel="0" collapsed="false">
      <c r="A23" s="100" t="s">
        <v>962</v>
      </c>
      <c r="B23" s="100" t="s"/>
      <c r="C23" s="49" t="n">
        <v>19</v>
      </c>
      <c r="D23" s="50" t="n">
        <v>8550</v>
      </c>
      <c r="E23" s="51"/>
      <c r="F23" s="52"/>
      <c r="G23" s="103" t="s">
        <v>963</v>
      </c>
      <c r="H23" s="104" t="s">
        <v>964</v>
      </c>
      <c r="I23" s="54" t="n">
        <v>19</v>
      </c>
      <c r="J23" s="56" t="n">
        <v>3800</v>
      </c>
      <c r="K23" s="55"/>
      <c r="L23" s="57"/>
      <c r="M23" s="35" t="n">
        <f aca="false">SUM(C23,I23)</f>
        <v>38</v>
      </c>
      <c r="N23" s="36" t="n">
        <f aca="false">SUM(D23,J23)</f>
        <v>12350</v>
      </c>
      <c r="O23" s="88" t="s">
        <v>965</v>
      </c>
      <c r="P23" s="89" t="s">
        <v>966</v>
      </c>
      <c r="Q23" s="60" t="n">
        <v>36</v>
      </c>
      <c r="R23" s="61" t="n">
        <v>53851.5</v>
      </c>
      <c r="S23" s="62"/>
      <c r="T23" s="63"/>
      <c r="U23" s="105"/>
      <c r="V23" s="106"/>
      <c r="W23" s="35" t="n">
        <f aca="false">SUM(M23,Q23)</f>
        <v>74</v>
      </c>
      <c r="X23" s="44" t="n">
        <f aca="false">SUM(N23,R23)</f>
        <v>66201.5</v>
      </c>
      <c r="Y23" s="45"/>
      <c r="Z23" s="40" t="n">
        <v>788</v>
      </c>
      <c r="AA23" s="40" t="s">
        <v>967</v>
      </c>
    </row>
    <row r="24" customFormat="false" ht="22.35" hidden="false" customHeight="false" outlineLevel="0" collapsed="false">
      <c r="A24" s="100" t="s">
        <v>968</v>
      </c>
      <c r="B24" s="100" t="s"/>
      <c r="C24" s="49" t="n">
        <v>12</v>
      </c>
      <c r="D24" s="50" t="n">
        <v>5150</v>
      </c>
      <c r="E24" s="51"/>
      <c r="F24" s="52"/>
      <c r="G24" s="103" t="s">
        <v>969</v>
      </c>
      <c r="H24" s="104" t="s">
        <v>970</v>
      </c>
      <c r="I24" s="54" t="n">
        <v>4</v>
      </c>
      <c r="J24" s="56" t="n">
        <v>2900</v>
      </c>
      <c r="K24" s="55"/>
      <c r="L24" s="57"/>
      <c r="M24" s="35" t="n">
        <f aca="false">SUM(C24,I24)</f>
        <v>16</v>
      </c>
      <c r="N24" s="36" t="n">
        <f aca="false">SUM(D24,J24)</f>
        <v>8050</v>
      </c>
      <c r="O24" s="88" t="s">
        <v>971</v>
      </c>
      <c r="P24" s="89" t="s">
        <v>972</v>
      </c>
      <c r="Q24" s="60" t="n">
        <v>25</v>
      </c>
      <c r="R24" s="61" t="n">
        <v>63064.2</v>
      </c>
      <c r="S24" s="62"/>
      <c r="T24" s="63"/>
      <c r="U24" s="105"/>
      <c r="V24" s="106"/>
      <c r="W24" s="35" t="n">
        <f aca="false">SUM(M24,Q24)</f>
        <v>41</v>
      </c>
      <c r="X24" s="44" t="n">
        <f aca="false">SUM(N24,R24)</f>
        <v>71114.2</v>
      </c>
      <c r="Y24" s="45"/>
      <c r="Z24" s="40" t="n">
        <v>797</v>
      </c>
      <c r="AA24" s="40" t="s">
        <v>973</v>
      </c>
    </row>
    <row r="25" customFormat="false" ht="22.35" hidden="false" customHeight="false" outlineLevel="0" collapsed="false">
      <c r="A25" s="100" t="s">
        <v>973</v>
      </c>
      <c r="B25" s="100" t="s"/>
      <c r="C25" s="49" t="s">
        <v>38</v>
      </c>
      <c r="D25" s="50" t="s">
        <v>38</v>
      </c>
      <c r="E25" s="51"/>
      <c r="F25" s="52"/>
      <c r="G25" s="103" t="s">
        <v>974</v>
      </c>
      <c r="H25" s="104" t="s">
        <v>975</v>
      </c>
      <c r="I25" s="54" t="n">
        <v>2</v>
      </c>
      <c r="J25" s="56" t="n">
        <v>700</v>
      </c>
      <c r="K25" s="55"/>
      <c r="L25" s="57"/>
      <c r="M25" s="35" t="n">
        <f aca="false">SUM(C25,I25)</f>
        <v>2</v>
      </c>
      <c r="N25" s="36" t="n">
        <f aca="false">SUM(D25,J25)</f>
        <v>700</v>
      </c>
      <c r="O25" s="88" t="s">
        <v>976</v>
      </c>
      <c r="P25" s="89" t="s">
        <v>977</v>
      </c>
      <c r="Q25" s="60" t="n">
        <v>30</v>
      </c>
      <c r="R25" s="61" t="n">
        <v>51340.6</v>
      </c>
      <c r="S25" s="62"/>
      <c r="T25" s="63"/>
      <c r="U25" s="105"/>
      <c r="V25" s="106"/>
      <c r="W25" s="35" t="n">
        <f aca="false">SUM(M25,Q25)</f>
        <v>32</v>
      </c>
      <c r="X25" s="44" t="n">
        <f aca="false">SUM(N25,R25)</f>
        <v>52040.6</v>
      </c>
      <c r="Y25" s="45"/>
      <c r="Z25" s="40" t="n">
        <v>804</v>
      </c>
      <c r="AA25" s="40" t="s">
        <v>978</v>
      </c>
    </row>
    <row r="26" customFormat="false" ht="22.35" hidden="false" customHeight="false" outlineLevel="0" collapsed="false">
      <c r="A26" s="100" t="s">
        <v>978</v>
      </c>
      <c r="B26" s="100" t="s"/>
      <c r="C26" s="49" t="n">
        <v>3</v>
      </c>
      <c r="D26" s="50" t="n">
        <v>4000</v>
      </c>
      <c r="E26" s="51"/>
      <c r="F26" s="52"/>
      <c r="G26" s="103" t="s">
        <v>979</v>
      </c>
      <c r="H26" s="104" t="s">
        <v>980</v>
      </c>
      <c r="I26" s="54" t="n">
        <v>7</v>
      </c>
      <c r="J26" s="56" t="n">
        <v>4300</v>
      </c>
      <c r="K26" s="55"/>
      <c r="L26" s="57"/>
      <c r="M26" s="35" t="n">
        <f aca="false">SUM(C26,I26)</f>
        <v>10</v>
      </c>
      <c r="N26" s="36" t="n">
        <f aca="false">SUM(D26,J26)</f>
        <v>8300</v>
      </c>
      <c r="O26" s="88" t="s">
        <v>981</v>
      </c>
      <c r="P26" s="89" t="s">
        <v>982</v>
      </c>
      <c r="Q26" s="60" t="n">
        <v>30</v>
      </c>
      <c r="R26" s="61" t="n">
        <v>87852</v>
      </c>
      <c r="S26" s="62"/>
      <c r="T26" s="63"/>
      <c r="U26" s="105"/>
      <c r="V26" s="106"/>
      <c r="W26" s="35" t="n">
        <f aca="false">SUM(M26,Q26)</f>
        <v>40</v>
      </c>
      <c r="X26" s="44" t="n">
        <f aca="false">SUM(N26,R26)</f>
        <v>96152</v>
      </c>
      <c r="Y26" s="45"/>
      <c r="Z26" s="40" t="n">
        <v>812</v>
      </c>
      <c r="AA26" s="40" t="s">
        <v>983</v>
      </c>
    </row>
    <row r="27" customFormat="false" ht="19.7" hidden="false" customHeight="false" outlineLevel="0" collapsed="false">
      <c r="A27" s="66" t="s">
        <v>122</v>
      </c>
      <c r="B27" s="66" t="s"/>
      <c r="C27" s="67" t="n">
        <f aca="false">SUM(C6:C26)</f>
        <v>109</v>
      </c>
      <c r="D27" s="68" t="n">
        <f aca="false">SUM(D6:D26)</f>
        <v>61750</v>
      </c>
      <c r="E27" s="69" t="n">
        <f aca="false">SUM(E6:E21)</f>
        <v>0</v>
      </c>
      <c r="F27" s="70" t="n">
        <f aca="false">SUM(F6:F21)</f>
        <v>0</v>
      </c>
      <c r="G27" s="71" t="s">
        <v>122</v>
      </c>
      <c r="H27" s="71"/>
      <c r="I27" s="72" t="n">
        <f aca="false">SUM(I6:I26)</f>
        <v>102</v>
      </c>
      <c r="J27" s="68" t="n">
        <f aca="false">SUM(J6:J26)</f>
        <v>73750</v>
      </c>
      <c r="K27" s="69" t="n">
        <f aca="false">SUM(K6:K21)</f>
        <v>0</v>
      </c>
      <c r="L27" s="70"/>
      <c r="M27" s="73" t="n">
        <f aca="false">SUM(M6:M26)</f>
        <v>211</v>
      </c>
      <c r="N27" s="74" t="n">
        <f aca="false">SUM(N6:N26)</f>
        <v>135500</v>
      </c>
      <c r="O27" s="71" t="s">
        <v>122</v>
      </c>
      <c r="P27" s="71"/>
      <c r="Q27" s="75" t="n">
        <f aca="false">SUM(Q6:Q26)</f>
        <v>688</v>
      </c>
      <c r="R27" s="76" t="n">
        <f aca="false">SUM(R6:R26)</f>
        <v>1214246.57</v>
      </c>
      <c r="S27" s="69" t="n">
        <f aca="false">SUM(S6:S21)</f>
        <v>0</v>
      </c>
      <c r="T27" s="70" t="n">
        <f aca="false">SUM(T6:T21)</f>
        <v>0</v>
      </c>
      <c r="U27" s="93" t="n">
        <f aca="false">SUM(U6:U21)</f>
        <v>551</v>
      </c>
      <c r="V27" s="94" t="n">
        <f aca="false">SUM(V6:V21)</f>
        <v>938119.47</v>
      </c>
      <c r="W27" s="73" t="n">
        <f aca="false">SUM(W6:W26)</f>
        <v>899</v>
      </c>
      <c r="X27" s="79" t="n">
        <f aca="false">SUM(X6:X26)</f>
        <v>1349746.57</v>
      </c>
      <c r="Y27" s="80"/>
      <c r="Z27" s="81"/>
      <c r="AA27" s="81"/>
    </row>
    <row r="28" customFormat="false" ht="15.75" hidden="false" customHeight="false" outlineLevel="0" collapsed="false">
      <c r="A28" s="2"/>
      <c r="B28" s="2"/>
      <c r="C28" s="2"/>
      <c r="D28" s="82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5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5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5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5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5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3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65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3"/>
      <c r="R48" s="3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C998" s="2"/>
      <c r="D998" s="2"/>
      <c r="E998" s="2"/>
      <c r="F998" s="2"/>
      <c r="G998" s="2"/>
      <c r="H998" s="2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mergeCells count="32">
    <mergeCell ref="A1:AA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A3:AA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G27:H27"/>
    <mergeCell ref="O27:P2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>
  <sheetPr filterMode="false">
    <outlinePr summaryBelow="0"/>
    <pageSetUpPr fitToPage="true"/>
  </sheetPr>
  <dimension ref="A1:AA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984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3" t="s">
        <v>11</v>
      </c>
      <c r="D4" s="14" t="s">
        <v>12</v>
      </c>
      <c r="E4" s="15" t="s">
        <v>13</v>
      </c>
      <c r="F4" s="15"/>
      <c r="G4" s="16" t="s">
        <v>14</v>
      </c>
      <c r="H4" s="17" t="s">
        <v>15</v>
      </c>
      <c r="I4" s="18" t="s">
        <v>11</v>
      </c>
      <c r="J4" s="18" t="s">
        <v>12</v>
      </c>
      <c r="K4" s="19" t="s">
        <v>16</v>
      </c>
      <c r="L4" s="19"/>
      <c r="M4" s="20" t="s">
        <v>17</v>
      </c>
      <c r="N4" s="21" t="s">
        <v>18</v>
      </c>
      <c r="O4" s="22" t="s">
        <v>14</v>
      </c>
      <c r="P4" s="23" t="s">
        <v>15</v>
      </c>
      <c r="Q4" s="23" t="s">
        <v>11</v>
      </c>
      <c r="R4" s="23" t="s">
        <v>12</v>
      </c>
      <c r="S4" s="24" t="s">
        <v>13</v>
      </c>
      <c r="T4" s="24"/>
      <c r="U4" s="9" t="s">
        <v>17</v>
      </c>
      <c r="V4" s="25" t="s">
        <v>18</v>
      </c>
      <c r="W4" s="20" t="s">
        <v>17</v>
      </c>
      <c r="X4" s="21" t="s">
        <v>18</v>
      </c>
      <c r="Y4" s="10"/>
      <c r="Z4" s="11"/>
      <c r="AA4" s="11"/>
    </row>
    <row r="5" customFormat="false" ht="19.7" hidden="false" customHeight="false" outlineLevel="0" collapsed="false">
      <c r="A5" s="4"/>
      <c r="B5" s="4"/>
      <c r="C5" s="13"/>
      <c r="D5" s="14"/>
      <c r="E5" s="14" t="s">
        <v>19</v>
      </c>
      <c r="F5" s="15" t="s">
        <v>20</v>
      </c>
      <c r="G5" s="16"/>
      <c r="H5" s="17"/>
      <c r="I5" s="17"/>
      <c r="J5" s="17"/>
      <c r="K5" s="17" t="s">
        <v>19</v>
      </c>
      <c r="L5" s="19" t="s">
        <v>20</v>
      </c>
      <c r="M5" s="20"/>
      <c r="N5" s="21"/>
      <c r="O5" s="22"/>
      <c r="P5" s="23"/>
      <c r="Q5" s="23"/>
      <c r="R5" s="23"/>
      <c r="S5" s="23" t="s">
        <v>11</v>
      </c>
      <c r="T5" s="24" t="s">
        <v>20</v>
      </c>
      <c r="U5" s="9"/>
      <c r="V5" s="25"/>
      <c r="W5" s="20"/>
      <c r="X5" s="21"/>
      <c r="Y5" s="10"/>
      <c r="Z5" s="11"/>
      <c r="AA5" s="11"/>
    </row>
    <row r="6" customFormat="false" ht="22.35" hidden="false" customHeight="false" outlineLevel="0" collapsed="false">
      <c r="A6" s="100" t="s">
        <v>983</v>
      </c>
      <c r="B6" s="100" t="s"/>
      <c r="C6" s="27" t="n">
        <v>1</v>
      </c>
      <c r="D6" s="28" t="n">
        <v>200</v>
      </c>
      <c r="E6" s="29"/>
      <c r="F6" s="30"/>
      <c r="G6" s="83" t="s">
        <v>985</v>
      </c>
      <c r="H6" s="98" t="s">
        <v>986</v>
      </c>
      <c r="I6" s="84" t="n">
        <v>8</v>
      </c>
      <c r="J6" s="33" t="n">
        <v>1900</v>
      </c>
      <c r="K6" s="46"/>
      <c r="L6" s="34"/>
      <c r="M6" s="35" t="n">
        <f aca="false">SUM(C6,I6)</f>
        <v>9</v>
      </c>
      <c r="N6" s="36" t="n">
        <f aca="false">SUM(D6,J6)</f>
        <v>2100</v>
      </c>
      <c r="O6" s="38" t="s">
        <v>987</v>
      </c>
      <c r="P6" s="38" t="s">
        <v>988</v>
      </c>
      <c r="Q6" s="38" t="n">
        <v>17</v>
      </c>
      <c r="R6" s="39" t="n">
        <v>38478.24</v>
      </c>
      <c r="S6" s="40"/>
      <c r="T6" s="41"/>
      <c r="U6" s="42" t="n">
        <f aca="false">SUM(Q6)</f>
        <v>17</v>
      </c>
      <c r="V6" s="90" t="n">
        <f aca="false">SUM(R6)</f>
        <v>38478.24</v>
      </c>
      <c r="W6" s="35" t="n">
        <f aca="false">SUM(M6,Q6)</f>
        <v>26</v>
      </c>
      <c r="X6" s="44" t="n">
        <f aca="false">SUM(N6,R6)</f>
        <v>40578.24</v>
      </c>
      <c r="Y6" s="45"/>
      <c r="Z6" s="40" t="n">
        <v>817</v>
      </c>
      <c r="AA6" s="40" t="s">
        <v>989</v>
      </c>
    </row>
    <row r="7" customFormat="false" ht="22.35" hidden="false" customHeight="false" outlineLevel="0" collapsed="false">
      <c r="A7" s="100" t="s">
        <v>989</v>
      </c>
      <c r="B7" s="100" t="s"/>
      <c r="C7" s="27" t="n">
        <v>9</v>
      </c>
      <c r="D7" s="28" t="n">
        <v>3400</v>
      </c>
      <c r="E7" s="29"/>
      <c r="F7" s="30"/>
      <c r="G7" s="83" t="s">
        <v>990</v>
      </c>
      <c r="H7" s="32" t="s">
        <v>991</v>
      </c>
      <c r="I7" s="84" t="n">
        <v>4</v>
      </c>
      <c r="J7" s="33" t="n">
        <v>1100</v>
      </c>
      <c r="K7" s="46"/>
      <c r="L7" s="34"/>
      <c r="M7" s="35" t="n">
        <f aca="false">SUM(C7,I7)</f>
        <v>13</v>
      </c>
      <c r="N7" s="36" t="n">
        <f aca="false">SUM(D7,J7)</f>
        <v>4500</v>
      </c>
      <c r="O7" s="38" t="s">
        <v>992</v>
      </c>
      <c r="P7" s="38" t="s">
        <v>993</v>
      </c>
      <c r="Q7" s="38" t="n">
        <v>34</v>
      </c>
      <c r="R7" s="39" t="n">
        <v>50901.08</v>
      </c>
      <c r="S7" s="40"/>
      <c r="T7" s="41"/>
      <c r="U7" s="42" t="n">
        <f aca="false">SUM(Q7)</f>
        <v>34</v>
      </c>
      <c r="V7" s="90" t="n">
        <f aca="false">SUM(R7)</f>
        <v>50901.08</v>
      </c>
      <c r="W7" s="35" t="n">
        <f aca="false">SUM(M7,Q7)</f>
        <v>47</v>
      </c>
      <c r="X7" s="44" t="n">
        <f aca="false">SUM(N7,R7)</f>
        <v>55401.08</v>
      </c>
      <c r="Y7" s="45"/>
      <c r="Z7" s="40" t="n">
        <v>824</v>
      </c>
      <c r="AA7" s="40" t="s">
        <v>994</v>
      </c>
    </row>
    <row r="8" customFormat="false" ht="22.35" hidden="false" customHeight="false" outlineLevel="0" collapsed="false">
      <c r="A8" s="100" t="s">
        <v>995</v>
      </c>
      <c r="B8" s="100" t="s"/>
      <c r="C8" s="27" t="n">
        <v>5</v>
      </c>
      <c r="D8" s="28" t="n">
        <v>2000</v>
      </c>
      <c r="E8" s="29"/>
      <c r="F8" s="30"/>
      <c r="G8" s="83" t="s">
        <v>996</v>
      </c>
      <c r="H8" s="32" t="s">
        <v>997</v>
      </c>
      <c r="I8" s="84" t="n">
        <v>5</v>
      </c>
      <c r="J8" s="33" t="n">
        <v>1300</v>
      </c>
      <c r="K8" s="46"/>
      <c r="L8" s="34"/>
      <c r="M8" s="35" t="n">
        <f aca="false">SUM(C8,I8)</f>
        <v>10</v>
      </c>
      <c r="N8" s="36" t="n">
        <f aca="false">SUM(D8,J8)</f>
        <v>3300</v>
      </c>
      <c r="O8" s="38" t="s">
        <v>998</v>
      </c>
      <c r="P8" s="38" t="s">
        <v>999</v>
      </c>
      <c r="Q8" s="38" t="n">
        <v>38</v>
      </c>
      <c r="R8" s="39" t="n">
        <v>55716.64</v>
      </c>
      <c r="S8" s="40"/>
      <c r="T8" s="41"/>
      <c r="U8" s="42" t="n">
        <f aca="false">SUM(Q8)</f>
        <v>38</v>
      </c>
      <c r="V8" s="90" t="n">
        <f aca="false">SUM(R8)</f>
        <v>55716.64</v>
      </c>
      <c r="W8" s="35" t="n">
        <f aca="false">SUM(M8,Q8)</f>
        <v>48</v>
      </c>
      <c r="X8" s="44" t="n">
        <f aca="false">SUM(N8,R8)</f>
        <v>59016.64</v>
      </c>
      <c r="Y8" s="96"/>
      <c r="Z8" s="40" t="n">
        <v>830</v>
      </c>
      <c r="AA8" s="40" t="s">
        <v>1000</v>
      </c>
    </row>
    <row r="9" customFormat="false" ht="22.35" hidden="false" customHeight="false" outlineLevel="0" collapsed="false">
      <c r="A9" s="100" t="s">
        <v>1000</v>
      </c>
      <c r="B9" s="100" t="s"/>
      <c r="C9" s="27" t="n">
        <v>5</v>
      </c>
      <c r="D9" s="28" t="n">
        <v>9000</v>
      </c>
      <c r="E9" s="29"/>
      <c r="F9" s="30"/>
      <c r="G9" s="83" t="s">
        <v>1001</v>
      </c>
      <c r="H9" s="32" t="s">
        <v>1002</v>
      </c>
      <c r="I9" s="84" t="n">
        <v>6</v>
      </c>
      <c r="J9" s="33" t="n">
        <v>1900</v>
      </c>
      <c r="K9" s="46"/>
      <c r="L9" s="34"/>
      <c r="M9" s="35" t="n">
        <f aca="false">SUM(C9,I9)</f>
        <v>11</v>
      </c>
      <c r="N9" s="36" t="n">
        <f aca="false">SUM(D9,J9)</f>
        <v>10900</v>
      </c>
      <c r="O9" s="38" t="s">
        <v>1003</v>
      </c>
      <c r="P9" s="38" t="s">
        <v>1004</v>
      </c>
      <c r="Q9" s="38" t="n">
        <v>24</v>
      </c>
      <c r="R9" s="39" t="n">
        <v>44407.22</v>
      </c>
      <c r="S9" s="40"/>
      <c r="T9" s="41"/>
      <c r="U9" s="42" t="n">
        <f aca="false">SUM(Q9)</f>
        <v>24</v>
      </c>
      <c r="V9" s="90" t="n">
        <f aca="false">SUM(R9)</f>
        <v>44407.22</v>
      </c>
      <c r="W9" s="35" t="n">
        <f aca="false">SUM(M9,Q9)</f>
        <v>35</v>
      </c>
      <c r="X9" s="44" t="n">
        <f aca="false">SUM(N9,R9)</f>
        <v>55307.22</v>
      </c>
      <c r="Y9" s="45"/>
      <c r="Z9" s="40" t="n">
        <v>836</v>
      </c>
      <c r="AA9" s="40" t="s">
        <v>1005</v>
      </c>
    </row>
    <row r="10" customFormat="false" ht="22.35" hidden="false" customHeight="false" outlineLevel="0" collapsed="false">
      <c r="A10" s="100" t="s">
        <v>1005</v>
      </c>
      <c r="B10" s="100" t="s"/>
      <c r="C10" s="27" t="n">
        <v>3</v>
      </c>
      <c r="D10" s="28" t="n">
        <v>6600</v>
      </c>
      <c r="E10" s="29"/>
      <c r="F10" s="30"/>
      <c r="G10" s="83" t="s">
        <v>1006</v>
      </c>
      <c r="H10" s="32" t="s">
        <v>1007</v>
      </c>
      <c r="I10" s="84" t="n">
        <v>3</v>
      </c>
      <c r="J10" s="33" t="n">
        <v>1200</v>
      </c>
      <c r="K10" s="46"/>
      <c r="L10" s="34"/>
      <c r="M10" s="35" t="n">
        <f aca="false">SUM(C10,I10)</f>
        <v>6</v>
      </c>
      <c r="N10" s="36" t="n">
        <f aca="false">SUM(D10,J10)</f>
        <v>7800</v>
      </c>
      <c r="O10" s="38" t="s">
        <v>1008</v>
      </c>
      <c r="P10" s="38" t="s">
        <v>1009</v>
      </c>
      <c r="Q10" s="38" t="n">
        <v>27</v>
      </c>
      <c r="R10" s="39" t="n">
        <v>39400.3</v>
      </c>
      <c r="S10" s="40"/>
      <c r="T10" s="41"/>
      <c r="U10" s="42" t="n">
        <f aca="false">SUM(Q10)</f>
        <v>27</v>
      </c>
      <c r="V10" s="90" t="n">
        <f aca="false">SUM(R10)</f>
        <v>39400.3</v>
      </c>
      <c r="W10" s="35" t="n">
        <f aca="false">SUM(M10,Q10)</f>
        <v>33</v>
      </c>
      <c r="X10" s="44" t="n">
        <f aca="false">SUM(N10,R10)</f>
        <v>47200.3</v>
      </c>
      <c r="Y10" s="45"/>
      <c r="Z10" s="40" t="n">
        <v>843</v>
      </c>
      <c r="AA10" s="40" t="s">
        <v>1010</v>
      </c>
    </row>
    <row r="11" customFormat="false" ht="22.35" hidden="false" customHeight="false" outlineLevel="0" collapsed="false">
      <c r="A11" s="100" t="s">
        <v>1010</v>
      </c>
      <c r="B11" s="100" t="s"/>
      <c r="C11" s="27" t="n">
        <v>3</v>
      </c>
      <c r="D11" s="28" t="n">
        <v>7750</v>
      </c>
      <c r="E11" s="29"/>
      <c r="F11" s="30"/>
      <c r="G11" s="83" t="s">
        <v>1011</v>
      </c>
      <c r="H11" s="32" t="s">
        <v>1012</v>
      </c>
      <c r="I11" s="84" t="n">
        <v>3</v>
      </c>
      <c r="J11" s="33" t="n">
        <v>4100</v>
      </c>
      <c r="K11" s="46"/>
      <c r="L11" s="34"/>
      <c r="M11" s="35" t="n">
        <f aca="false">SUM(C11,I11)</f>
        <v>6</v>
      </c>
      <c r="N11" s="36" t="n">
        <f aca="false">SUM(D11,J11)</f>
        <v>11850</v>
      </c>
      <c r="O11" s="38" t="s">
        <v>1013</v>
      </c>
      <c r="P11" s="38" t="s">
        <v>1014</v>
      </c>
      <c r="Q11" s="38" t="n">
        <v>36</v>
      </c>
      <c r="R11" s="39" t="n">
        <v>75470.67</v>
      </c>
      <c r="S11" s="40"/>
      <c r="T11" s="41"/>
      <c r="U11" s="42" t="n">
        <f aca="false">SUM(Q11)</f>
        <v>36</v>
      </c>
      <c r="V11" s="90" t="n">
        <f aca="false">SUM(R11)</f>
        <v>75470.67</v>
      </c>
      <c r="W11" s="35" t="n">
        <f aca="false">SUM(M11,Q11)</f>
        <v>42</v>
      </c>
      <c r="X11" s="44" t="n">
        <f aca="false">SUM(N11,R11)</f>
        <v>87320.67</v>
      </c>
      <c r="Y11" s="45"/>
      <c r="Z11" s="40" t="n">
        <v>850</v>
      </c>
      <c r="AA11" s="40" t="s">
        <v>1015</v>
      </c>
    </row>
    <row r="12" customFormat="false" ht="22.35" hidden="false" customHeight="false" outlineLevel="0" collapsed="false">
      <c r="A12" s="100" t="s">
        <v>1015</v>
      </c>
      <c r="B12" s="100" t="s"/>
      <c r="C12" s="27" t="n">
        <v>3</v>
      </c>
      <c r="D12" s="28" t="n">
        <v>850</v>
      </c>
      <c r="E12" s="29"/>
      <c r="F12" s="30"/>
      <c r="G12" s="83" t="s">
        <v>1016</v>
      </c>
      <c r="H12" s="32" t="s">
        <v>1017</v>
      </c>
      <c r="I12" s="84" t="n">
        <v>2</v>
      </c>
      <c r="J12" s="33" t="n">
        <v>1580</v>
      </c>
      <c r="K12" s="46"/>
      <c r="L12" s="34"/>
      <c r="M12" s="35" t="n">
        <f aca="false">SUM(C12,I12)</f>
        <v>5</v>
      </c>
      <c r="N12" s="36" t="n">
        <f aca="false">SUM(D12,J12)</f>
        <v>2430</v>
      </c>
      <c r="O12" s="38" t="s">
        <v>1018</v>
      </c>
      <c r="P12" s="38" t="s">
        <v>1019</v>
      </c>
      <c r="Q12" s="38" t="n">
        <v>23</v>
      </c>
      <c r="R12" s="39" t="n">
        <v>39696.55</v>
      </c>
      <c r="S12" s="40"/>
      <c r="T12" s="41"/>
      <c r="U12" s="42" t="n">
        <f aca="false">SUM(Q12)</f>
        <v>23</v>
      </c>
      <c r="V12" s="90" t="n">
        <f aca="false">SUM(R12)</f>
        <v>39696.55</v>
      </c>
      <c r="W12" s="35" t="n">
        <f aca="false">SUM(M12,Q12)</f>
        <v>28</v>
      </c>
      <c r="X12" s="44" t="n">
        <f aca="false">SUM(N12,R12)</f>
        <v>42126.55</v>
      </c>
      <c r="Y12" s="45"/>
      <c r="Z12" s="40" t="n">
        <v>856</v>
      </c>
      <c r="AA12" s="40" t="s">
        <v>1020</v>
      </c>
    </row>
    <row r="13" customFormat="false" ht="22.35" hidden="false" customHeight="false" outlineLevel="0" collapsed="false">
      <c r="A13" s="100" t="s">
        <v>1021</v>
      </c>
      <c r="B13" s="100" t="s"/>
      <c r="C13" s="27" t="n">
        <v>11</v>
      </c>
      <c r="D13" s="28" t="n">
        <v>4750</v>
      </c>
      <c r="E13" s="29"/>
      <c r="F13" s="30"/>
      <c r="G13" s="83" t="s">
        <v>1022</v>
      </c>
      <c r="H13" s="32" t="s">
        <v>1023</v>
      </c>
      <c r="I13" s="84" t="n">
        <v>3</v>
      </c>
      <c r="J13" s="33" t="n">
        <v>1400</v>
      </c>
      <c r="K13" s="46"/>
      <c r="L13" s="34"/>
      <c r="M13" s="35" t="n">
        <f aca="false">SUM(C13,I13)</f>
        <v>14</v>
      </c>
      <c r="N13" s="36" t="n">
        <f aca="false">SUM(D13,J13)</f>
        <v>6150</v>
      </c>
      <c r="O13" s="38" t="s">
        <v>1024</v>
      </c>
      <c r="P13" s="38" t="s">
        <v>1025</v>
      </c>
      <c r="Q13" s="38" t="n">
        <v>41</v>
      </c>
      <c r="R13" s="39" t="n">
        <v>65695.79</v>
      </c>
      <c r="S13" s="40"/>
      <c r="T13" s="41"/>
      <c r="U13" s="42" t="n">
        <f aca="false">SUM(Q13)</f>
        <v>41</v>
      </c>
      <c r="V13" s="90" t="n">
        <f aca="false">SUM(R13)</f>
        <v>65695.79</v>
      </c>
      <c r="W13" s="35" t="n">
        <f aca="false">SUM(M13,Q13)</f>
        <v>55</v>
      </c>
      <c r="X13" s="44" t="n">
        <f aca="false">SUM(N13,R13)</f>
        <v>71845.79</v>
      </c>
      <c r="Y13" s="45"/>
      <c r="Z13" s="40" t="n">
        <v>863</v>
      </c>
      <c r="AA13" s="40" t="s">
        <v>1026</v>
      </c>
    </row>
    <row r="14" customFormat="false" ht="22.35" hidden="false" customHeight="false" outlineLevel="0" collapsed="false">
      <c r="A14" s="100" t="s">
        <v>1026</v>
      </c>
      <c r="B14" s="100" t="s"/>
      <c r="C14" s="27" t="n">
        <v>2</v>
      </c>
      <c r="D14" s="28" t="n">
        <v>1200</v>
      </c>
      <c r="E14" s="29"/>
      <c r="F14" s="30"/>
      <c r="G14" s="83" t="s">
        <v>1027</v>
      </c>
      <c r="H14" s="32" t="s">
        <v>1028</v>
      </c>
      <c r="I14" s="84" t="n">
        <v>2</v>
      </c>
      <c r="J14" s="33" t="n">
        <v>400</v>
      </c>
      <c r="K14" s="46"/>
      <c r="L14" s="34"/>
      <c r="M14" s="35" t="n">
        <f aca="false">SUM(C14,I14)</f>
        <v>4</v>
      </c>
      <c r="N14" s="36" t="n">
        <f aca="false">SUM(D14,J14)</f>
        <v>1600</v>
      </c>
      <c r="O14" s="38" t="s">
        <v>1029</v>
      </c>
      <c r="P14" s="38" t="s">
        <v>1030</v>
      </c>
      <c r="Q14" s="38" t="n">
        <v>44</v>
      </c>
      <c r="R14" s="39" t="n">
        <v>74377.68</v>
      </c>
      <c r="S14" s="40"/>
      <c r="T14" s="41"/>
      <c r="U14" s="42" t="n">
        <f aca="false">SUM(Q14)</f>
        <v>44</v>
      </c>
      <c r="V14" s="90" t="n">
        <f aca="false">SUM(R14)</f>
        <v>74377.68</v>
      </c>
      <c r="W14" s="35" t="n">
        <f aca="false">SUM(M14,Q14)</f>
        <v>48</v>
      </c>
      <c r="X14" s="44" t="n">
        <f aca="false">SUM(N14,R14)</f>
        <v>75977.68</v>
      </c>
      <c r="Y14" s="45"/>
      <c r="Z14" s="40" t="n">
        <v>870</v>
      </c>
      <c r="AA14" s="40" t="s">
        <v>1031</v>
      </c>
    </row>
    <row r="15" customFormat="false" ht="22.35" hidden="false" customHeight="false" outlineLevel="0" collapsed="false">
      <c r="A15" s="100" t="s">
        <v>1031</v>
      </c>
      <c r="B15" s="100" t="s"/>
      <c r="C15" s="27" t="n">
        <v>3</v>
      </c>
      <c r="D15" s="28" t="n">
        <v>7140</v>
      </c>
      <c r="E15" s="29"/>
      <c r="F15" s="30"/>
      <c r="G15" s="83" t="s">
        <v>1032</v>
      </c>
      <c r="H15" s="32" t="s">
        <v>1033</v>
      </c>
      <c r="I15" s="84" t="n">
        <v>4</v>
      </c>
      <c r="J15" s="33" t="n">
        <v>1500</v>
      </c>
      <c r="K15" s="46"/>
      <c r="L15" s="34"/>
      <c r="M15" s="35" t="n">
        <f aca="false">SUM(C15,I15)</f>
        <v>7</v>
      </c>
      <c r="N15" s="36" t="n">
        <f aca="false">SUM(D15,J15)</f>
        <v>8640</v>
      </c>
      <c r="O15" s="38" t="s">
        <v>1034</v>
      </c>
      <c r="P15" s="38" t="s">
        <v>1035</v>
      </c>
      <c r="Q15" s="38" t="n">
        <v>44</v>
      </c>
      <c r="R15" s="39" t="n">
        <v>83026.5</v>
      </c>
      <c r="S15" s="40"/>
      <c r="T15" s="41"/>
      <c r="U15" s="42" t="n">
        <f aca="false">SUM(Q15)</f>
        <v>44</v>
      </c>
      <c r="V15" s="90" t="n">
        <f aca="false">SUM(R15)</f>
        <v>83026.5</v>
      </c>
      <c r="W15" s="35" t="n">
        <f aca="false">SUM(M15,Q15)</f>
        <v>51</v>
      </c>
      <c r="X15" s="44" t="n">
        <f aca="false">SUM(N15,R15)</f>
        <v>91666.5</v>
      </c>
      <c r="Y15" s="45"/>
      <c r="Z15" s="40" t="n">
        <v>875</v>
      </c>
      <c r="AA15" s="40" t="s">
        <v>1036</v>
      </c>
    </row>
    <row r="16" customFormat="false" ht="22.35" hidden="false" customHeight="false" outlineLevel="0" collapsed="false">
      <c r="A16" s="100" t="s">
        <v>1036</v>
      </c>
      <c r="B16" s="100" t="s"/>
      <c r="C16" s="27" t="n">
        <v>2</v>
      </c>
      <c r="D16" s="28" t="n">
        <v>500</v>
      </c>
      <c r="E16" s="29"/>
      <c r="F16" s="30"/>
      <c r="G16" s="32" t="s">
        <v>1037</v>
      </c>
      <c r="H16" s="46" t="s">
        <v>38</v>
      </c>
      <c r="I16" s="84" t="n">
        <v>1</v>
      </c>
      <c r="J16" s="33" t="n">
        <v>200</v>
      </c>
      <c r="K16" s="46"/>
      <c r="L16" s="34"/>
      <c r="M16" s="35" t="n">
        <f aca="false">SUM(C16,I16)</f>
        <v>3</v>
      </c>
      <c r="N16" s="36" t="n">
        <f aca="false">SUM(D16,J16)</f>
        <v>700</v>
      </c>
      <c r="O16" s="38" t="s">
        <v>1038</v>
      </c>
      <c r="P16" s="38" t="s">
        <v>1039</v>
      </c>
      <c r="Q16" s="38" t="n">
        <v>40</v>
      </c>
      <c r="R16" s="39" t="n">
        <v>69426.52</v>
      </c>
      <c r="S16" s="40"/>
      <c r="T16" s="41"/>
      <c r="U16" s="42" t="n">
        <f aca="false">SUM(Q16)</f>
        <v>40</v>
      </c>
      <c r="V16" s="90" t="n">
        <f aca="false">SUM(R16)</f>
        <v>69426.52</v>
      </c>
      <c r="W16" s="35" t="n">
        <f aca="false">SUM(M16,Q16)</f>
        <v>43</v>
      </c>
      <c r="X16" s="44" t="n">
        <f aca="false">SUM(N16,R16)</f>
        <v>70126.52</v>
      </c>
      <c r="Y16" s="47"/>
      <c r="Z16" s="40" t="n">
        <v>883</v>
      </c>
      <c r="AA16" s="40" t="s">
        <v>1040</v>
      </c>
    </row>
    <row r="17" customFormat="false" ht="22.35" hidden="false" customHeight="false" outlineLevel="0" collapsed="false">
      <c r="A17" s="100" t="s">
        <v>1040</v>
      </c>
      <c r="B17" s="100" t="s"/>
      <c r="C17" s="27" t="n">
        <v>1</v>
      </c>
      <c r="D17" s="28" t="n">
        <v>200</v>
      </c>
      <c r="E17" s="29"/>
      <c r="F17" s="30"/>
      <c r="G17" s="32" t="s">
        <v>1041</v>
      </c>
      <c r="H17" s="32" t="s">
        <v>1042</v>
      </c>
      <c r="I17" s="84" t="n">
        <v>2</v>
      </c>
      <c r="J17" s="33" t="n">
        <v>12800</v>
      </c>
      <c r="K17" s="46"/>
      <c r="L17" s="34"/>
      <c r="M17" s="35" t="n">
        <f aca="false">SUM(C17,I17)</f>
        <v>3</v>
      </c>
      <c r="N17" s="36" t="n">
        <f aca="false">SUM(D17,J17)</f>
        <v>13000</v>
      </c>
      <c r="O17" s="38" t="s">
        <v>1043</v>
      </c>
      <c r="P17" s="38" t="s">
        <v>1044</v>
      </c>
      <c r="Q17" s="38" t="n">
        <v>19</v>
      </c>
      <c r="R17" s="39" t="n">
        <v>35174.01</v>
      </c>
      <c r="S17" s="40"/>
      <c r="T17" s="41"/>
      <c r="U17" s="42" t="n">
        <f aca="false">SUM(Q17)</f>
        <v>19</v>
      </c>
      <c r="V17" s="90" t="n">
        <f aca="false">SUM(R17)</f>
        <v>35174.01</v>
      </c>
      <c r="W17" s="35" t="n">
        <f aca="false">SUM(M17,Q17)</f>
        <v>22</v>
      </c>
      <c r="X17" s="44" t="n">
        <f aca="false">SUM(N17,R17)</f>
        <v>48174.01</v>
      </c>
      <c r="Y17" s="47"/>
      <c r="Z17" s="40" t="n">
        <v>888</v>
      </c>
      <c r="AA17" s="40" t="s">
        <v>1045</v>
      </c>
    </row>
    <row r="18" customFormat="false" ht="22.35" hidden="false" customHeight="false" outlineLevel="0" collapsed="false">
      <c r="A18" s="100" t="s">
        <v>1046</v>
      </c>
      <c r="B18" s="100" t="s"/>
      <c r="C18" s="27" t="n">
        <v>1</v>
      </c>
      <c r="D18" s="28" t="n">
        <v>500</v>
      </c>
      <c r="E18" s="29"/>
      <c r="F18" s="30"/>
      <c r="G18" s="83" t="s">
        <v>1047</v>
      </c>
      <c r="H18" s="32" t="s">
        <v>1048</v>
      </c>
      <c r="I18" s="84" t="n">
        <v>5</v>
      </c>
      <c r="J18" s="33" t="n">
        <v>1600</v>
      </c>
      <c r="K18" s="46"/>
      <c r="L18" s="34"/>
      <c r="M18" s="35" t="n">
        <f aca="false">SUM(C18,I18)</f>
        <v>6</v>
      </c>
      <c r="N18" s="36" t="n">
        <f aca="false">SUM(D18,J18)</f>
        <v>2100</v>
      </c>
      <c r="O18" s="38" t="s">
        <v>1049</v>
      </c>
      <c r="P18" s="38" t="s">
        <v>1050</v>
      </c>
      <c r="Q18" s="38" t="n">
        <v>38</v>
      </c>
      <c r="R18" s="39" t="n">
        <v>63664.19</v>
      </c>
      <c r="S18" s="40"/>
      <c r="T18" s="41"/>
      <c r="U18" s="42" t="n">
        <f aca="false">SUM(Q18)</f>
        <v>38</v>
      </c>
      <c r="V18" s="90" t="n">
        <f aca="false">SUM(R18)</f>
        <v>63664.19</v>
      </c>
      <c r="W18" s="35" t="n">
        <f aca="false">SUM(M18,Q18)</f>
        <v>44</v>
      </c>
      <c r="X18" s="44" t="n">
        <f aca="false">SUM(N18,R18)</f>
        <v>65764.19</v>
      </c>
      <c r="Y18" s="45"/>
      <c r="Z18" s="40" t="n">
        <v>896</v>
      </c>
      <c r="AA18" s="40" t="s">
        <v>1051</v>
      </c>
    </row>
    <row r="19" customFormat="false" ht="22.35" hidden="false" customHeight="false" outlineLevel="0" collapsed="false">
      <c r="A19" s="100" t="s">
        <v>1051</v>
      </c>
      <c r="B19" s="100" t="s"/>
      <c r="C19" s="27" t="s">
        <v>38</v>
      </c>
      <c r="D19" s="28" t="s">
        <v>38</v>
      </c>
      <c r="E19" s="29"/>
      <c r="F19" s="30"/>
      <c r="G19" s="83" t="s">
        <v>1052</v>
      </c>
      <c r="H19" s="32" t="s">
        <v>1053</v>
      </c>
      <c r="I19" s="84" t="n">
        <v>9</v>
      </c>
      <c r="J19" s="33" t="n">
        <v>4250</v>
      </c>
      <c r="K19" s="46"/>
      <c r="L19" s="34"/>
      <c r="M19" s="35" t="n">
        <f aca="false">SUM(C19,I19)</f>
        <v>9</v>
      </c>
      <c r="N19" s="36" t="n">
        <f aca="false">SUM(D19,J19)</f>
        <v>4250</v>
      </c>
      <c r="O19" s="38" t="s">
        <v>1054</v>
      </c>
      <c r="P19" s="38" t="s">
        <v>1055</v>
      </c>
      <c r="Q19" s="38" t="n">
        <v>18</v>
      </c>
      <c r="R19" s="39" t="n">
        <v>29965.5</v>
      </c>
      <c r="S19" s="40"/>
      <c r="T19" s="41"/>
      <c r="U19" s="42" t="n">
        <f aca="false">SUM(Q19)</f>
        <v>18</v>
      </c>
      <c r="V19" s="90" t="n">
        <f aca="false">SUM(R19)</f>
        <v>29965.5</v>
      </c>
      <c r="W19" s="35" t="n">
        <f aca="false">SUM(M19,Q19)</f>
        <v>27</v>
      </c>
      <c r="X19" s="44" t="n">
        <f aca="false">SUM(N19,R19)</f>
        <v>34215.5</v>
      </c>
      <c r="Y19" s="45"/>
      <c r="Z19" s="40" t="n">
        <v>902</v>
      </c>
      <c r="AA19" s="40" t="s">
        <v>1056</v>
      </c>
    </row>
    <row r="20" customFormat="false" ht="22.35" hidden="false" customHeight="false" outlineLevel="0" collapsed="false">
      <c r="A20" s="100" t="s">
        <v>1056</v>
      </c>
      <c r="B20" s="100" t="s"/>
      <c r="C20" s="27" t="n">
        <v>2</v>
      </c>
      <c r="D20" s="28" t="n">
        <v>850</v>
      </c>
      <c r="E20" s="29"/>
      <c r="F20" s="30"/>
      <c r="G20" s="83" t="s">
        <v>1057</v>
      </c>
      <c r="H20" s="32" t="s">
        <v>1058</v>
      </c>
      <c r="I20" s="84" t="n">
        <v>2</v>
      </c>
      <c r="J20" s="33" t="n">
        <v>400</v>
      </c>
      <c r="K20" s="46"/>
      <c r="L20" s="34"/>
      <c r="M20" s="35" t="n">
        <f aca="false">SUM(C20,I20)</f>
        <v>4</v>
      </c>
      <c r="N20" s="36" t="n">
        <f aca="false">SUM(D20,J20)</f>
        <v>1250</v>
      </c>
      <c r="O20" s="38" t="s">
        <v>1059</v>
      </c>
      <c r="P20" s="38" t="s">
        <v>1060</v>
      </c>
      <c r="Q20" s="38" t="n">
        <v>18</v>
      </c>
      <c r="R20" s="39" t="n">
        <v>65455.46</v>
      </c>
      <c r="S20" s="40"/>
      <c r="T20" s="41"/>
      <c r="U20" s="42" t="n">
        <f aca="false">SUM(Q20)</f>
        <v>18</v>
      </c>
      <c r="V20" s="90" t="n">
        <f aca="false">SUM(R20)</f>
        <v>65455.46</v>
      </c>
      <c r="W20" s="35" t="n">
        <f aca="false">SUM(M20,Q20)</f>
        <v>22</v>
      </c>
      <c r="X20" s="44" t="n">
        <f aca="false">SUM(N20,R20)</f>
        <v>66705.46</v>
      </c>
      <c r="Y20" s="45"/>
      <c r="Z20" s="40" t="n">
        <v>908</v>
      </c>
      <c r="AA20" s="40" t="s">
        <v>1061</v>
      </c>
    </row>
    <row r="21" customFormat="false" ht="22.35" hidden="false" customHeight="false" outlineLevel="0" collapsed="false">
      <c r="A21" s="100" t="s">
        <v>1061</v>
      </c>
      <c r="B21" s="100" t="s"/>
      <c r="C21" s="27" t="n">
        <v>9</v>
      </c>
      <c r="D21" s="28" t="n">
        <v>3650</v>
      </c>
      <c r="E21" s="29"/>
      <c r="F21" s="30"/>
      <c r="G21" s="83" t="s">
        <v>1062</v>
      </c>
      <c r="H21" s="32" t="s">
        <v>1063</v>
      </c>
      <c r="I21" s="84" t="n">
        <v>2</v>
      </c>
      <c r="J21" s="33" t="n">
        <v>1200</v>
      </c>
      <c r="K21" s="46"/>
      <c r="L21" s="34"/>
      <c r="M21" s="35" t="n">
        <f aca="false">SUM(C21,I21)</f>
        <v>11</v>
      </c>
      <c r="N21" s="36" t="n">
        <f aca="false">SUM(D21,J21)</f>
        <v>4850</v>
      </c>
      <c r="O21" s="37" t="s">
        <v>1064</v>
      </c>
      <c r="P21" s="38" t="s">
        <v>1065</v>
      </c>
      <c r="Q21" s="38" t="n">
        <v>18</v>
      </c>
      <c r="R21" s="39" t="n">
        <v>26348.19</v>
      </c>
      <c r="S21" s="40"/>
      <c r="T21" s="41"/>
      <c r="U21" s="42" t="n">
        <f aca="false">SUM(Q21)</f>
        <v>18</v>
      </c>
      <c r="V21" s="90" t="n">
        <f aca="false">SUM(R21)</f>
        <v>26348.19</v>
      </c>
      <c r="W21" s="35" t="n">
        <f aca="false">SUM(M21,Q21)</f>
        <v>29</v>
      </c>
      <c r="X21" s="44" t="n">
        <f aca="false">SUM(N21,R21)</f>
        <v>31198.19</v>
      </c>
      <c r="Y21" s="45"/>
      <c r="Z21" s="40" t="n">
        <v>914</v>
      </c>
      <c r="AA21" s="40" t="s">
        <v>1066</v>
      </c>
    </row>
    <row r="22" customFormat="false" ht="22.35" hidden="false" customHeight="false" outlineLevel="0" collapsed="false">
      <c r="A22" s="100" t="s">
        <v>1066</v>
      </c>
      <c r="B22" s="100" t="s"/>
      <c r="C22" s="49" t="n">
        <v>3</v>
      </c>
      <c r="D22" s="50" t="n">
        <v>600</v>
      </c>
      <c r="E22" s="51"/>
      <c r="F22" s="52"/>
      <c r="G22" s="103" t="s">
        <v>1067</v>
      </c>
      <c r="H22" s="104" t="s">
        <v>1068</v>
      </c>
      <c r="I22" s="54" t="n">
        <v>2</v>
      </c>
      <c r="J22" s="56" t="n">
        <v>1000</v>
      </c>
      <c r="K22" s="55"/>
      <c r="L22" s="57"/>
      <c r="M22" s="35" t="n">
        <f aca="false">SUM(C22,I22)</f>
        <v>5</v>
      </c>
      <c r="N22" s="36" t="n">
        <f aca="false">SUM(D22,J22)</f>
        <v>1600</v>
      </c>
      <c r="O22" s="88" t="s">
        <v>1069</v>
      </c>
      <c r="P22" s="89" t="s">
        <v>1070</v>
      </c>
      <c r="Q22" s="60" t="n">
        <v>29</v>
      </c>
      <c r="R22" s="61" t="n">
        <v>54251.68</v>
      </c>
      <c r="S22" s="62"/>
      <c r="T22" s="63"/>
      <c r="U22" s="105"/>
      <c r="V22" s="106"/>
      <c r="W22" s="35" t="n">
        <f aca="false">SUM(M22,Q22)</f>
        <v>34</v>
      </c>
      <c r="X22" s="44" t="n">
        <f aca="false">SUM(N22,R22)</f>
        <v>55851.68</v>
      </c>
      <c r="Y22" s="45"/>
      <c r="Z22" s="40" t="n">
        <v>920</v>
      </c>
      <c r="AA22" s="40" t="s">
        <v>1071</v>
      </c>
    </row>
    <row r="23" customFormat="false" ht="22.35" hidden="false" customHeight="false" outlineLevel="0" collapsed="false">
      <c r="A23" s="100" t="s">
        <v>1072</v>
      </c>
      <c r="B23" s="100" t="s"/>
      <c r="C23" s="49" t="n">
        <v>7</v>
      </c>
      <c r="D23" s="50" t="n">
        <v>6860</v>
      </c>
      <c r="E23" s="51"/>
      <c r="F23" s="52"/>
      <c r="G23" s="103" t="s">
        <v>1073</v>
      </c>
      <c r="H23" s="104" t="s">
        <v>1074</v>
      </c>
      <c r="I23" s="54" t="n">
        <v>9</v>
      </c>
      <c r="J23" s="56" t="n">
        <v>4340</v>
      </c>
      <c r="K23" s="55"/>
      <c r="L23" s="57"/>
      <c r="M23" s="35" t="n">
        <f aca="false">SUM(C23,I23)</f>
        <v>16</v>
      </c>
      <c r="N23" s="36" t="n">
        <f aca="false">SUM(D23,J23)</f>
        <v>11200</v>
      </c>
      <c r="O23" s="88" t="s">
        <v>1075</v>
      </c>
      <c r="P23" s="89" t="s">
        <v>1076</v>
      </c>
      <c r="Q23" s="60" t="n">
        <v>28</v>
      </c>
      <c r="R23" s="61" t="n">
        <v>73984.19</v>
      </c>
      <c r="S23" s="62"/>
      <c r="T23" s="63"/>
      <c r="U23" s="105"/>
      <c r="V23" s="106"/>
      <c r="W23" s="35" t="n">
        <f aca="false">SUM(M23,Q23)</f>
        <v>44</v>
      </c>
      <c r="X23" s="44" t="n">
        <f aca="false">SUM(N23,R23)</f>
        <v>85184.19</v>
      </c>
      <c r="Y23" s="45"/>
      <c r="Z23" s="40" t="n">
        <v>925</v>
      </c>
      <c r="AA23" s="40" t="s">
        <v>1077</v>
      </c>
    </row>
    <row r="24" customFormat="false" ht="22.35" hidden="false" customHeight="false" outlineLevel="0" collapsed="false">
      <c r="A24" s="100" t="s">
        <v>1078</v>
      </c>
      <c r="B24" s="100" t="s"/>
      <c r="C24" s="49" t="s">
        <v>38</v>
      </c>
      <c r="D24" s="50" t="s">
        <v>38</v>
      </c>
      <c r="E24" s="51"/>
      <c r="F24" s="52"/>
      <c r="G24" s="103" t="s">
        <v>1079</v>
      </c>
      <c r="H24" s="104" t="s">
        <v>1080</v>
      </c>
      <c r="I24" s="54" t="n">
        <v>6</v>
      </c>
      <c r="J24" s="56" t="n">
        <v>2400</v>
      </c>
      <c r="K24" s="55"/>
      <c r="L24" s="57"/>
      <c r="M24" s="35" t="n">
        <f aca="false">SUM(C24,I24)</f>
        <v>6</v>
      </c>
      <c r="N24" s="36" t="n">
        <f aca="false">SUM(D24,J24)</f>
        <v>2400</v>
      </c>
      <c r="O24" s="88" t="s">
        <v>1081</v>
      </c>
      <c r="P24" s="89" t="s">
        <v>1082</v>
      </c>
      <c r="Q24" s="60" t="n">
        <v>41</v>
      </c>
      <c r="R24" s="61" t="n">
        <v>74108.72</v>
      </c>
      <c r="S24" s="62"/>
      <c r="T24" s="63"/>
      <c r="U24" s="105"/>
      <c r="V24" s="106"/>
      <c r="W24" s="35" t="n">
        <f aca="false">SUM(M24,Q24)</f>
        <v>47</v>
      </c>
      <c r="X24" s="44" t="n">
        <f aca="false">SUM(N24,R24)</f>
        <v>76508.72</v>
      </c>
      <c r="Y24" s="45"/>
      <c r="Z24" s="40" t="n">
        <v>930</v>
      </c>
      <c r="AA24" s="40" t="s">
        <v>1083</v>
      </c>
    </row>
    <row r="25" customFormat="false" ht="19.7" hidden="false" customHeight="false" outlineLevel="0" collapsed="false">
      <c r="A25" s="66" t="s">
        <v>122</v>
      </c>
      <c r="B25" s="66" t="s"/>
      <c r="C25" s="67" t="n">
        <f aca="false">SUM(C6:C24)</f>
        <v>70</v>
      </c>
      <c r="D25" s="68" t="n">
        <f aca="false">SUM(D6:D24)</f>
        <v>56050</v>
      </c>
      <c r="E25" s="69" t="n">
        <f aca="false">SUM(E6:E21)</f>
        <v>0</v>
      </c>
      <c r="F25" s="70" t="n">
        <f aca="false">SUM(F6:F21)</f>
        <v>0</v>
      </c>
      <c r="G25" s="71" t="s">
        <v>122</v>
      </c>
      <c r="H25" s="71"/>
      <c r="I25" s="72" t="n">
        <f aca="false">SUM(I6:I24)</f>
        <v>78</v>
      </c>
      <c r="J25" s="68" t="n">
        <f aca="false">SUM(J6:J24)</f>
        <v>44570</v>
      </c>
      <c r="K25" s="69" t="n">
        <f aca="false">SUM(K6:K21)</f>
        <v>0</v>
      </c>
      <c r="L25" s="70"/>
      <c r="M25" s="73" t="n">
        <f aca="false">SUM(M6:M24)</f>
        <v>148</v>
      </c>
      <c r="N25" s="74" t="n">
        <f aca="false">SUM(N6:N24)</f>
        <v>100620</v>
      </c>
      <c r="O25" s="71" t="s">
        <v>122</v>
      </c>
      <c r="P25" s="71"/>
      <c r="Q25" s="75" t="n">
        <f aca="false">SUM(Q6:Q24)</f>
        <v>577</v>
      </c>
      <c r="R25" s="76" t="n">
        <f aca="false">SUM(R6:R24)</f>
        <v>1059549.13</v>
      </c>
      <c r="S25" s="69" t="n">
        <f aca="false">SUM(S6:S21)</f>
        <v>0</v>
      </c>
      <c r="T25" s="70" t="n">
        <f aca="false">SUM(T6:T21)</f>
        <v>0</v>
      </c>
      <c r="U25" s="93" t="n">
        <f aca="false">SUM(U6:U21)</f>
        <v>479</v>
      </c>
      <c r="V25" s="94" t="n">
        <f aca="false">SUM(V6:V21)</f>
        <v>857204.54</v>
      </c>
      <c r="W25" s="73" t="n">
        <f aca="false">SUM(W6:W24)</f>
        <v>725</v>
      </c>
      <c r="X25" s="79" t="n">
        <f aca="false">SUM(X6:X24)</f>
        <v>1160169.13</v>
      </c>
      <c r="Y25" s="80"/>
      <c r="Z25" s="81"/>
      <c r="AA25" s="81"/>
    </row>
    <row r="26" customFormat="false" ht="15.75" hidden="false" customHeight="false" outlineLevel="0" collapsed="false">
      <c r="A26" s="2"/>
      <c r="B26" s="2"/>
      <c r="C26" s="2"/>
      <c r="D26" s="82"/>
      <c r="E26" s="2"/>
      <c r="F26" s="2"/>
      <c r="G26" s="2"/>
      <c r="H26" s="2"/>
      <c r="I26" s="3"/>
      <c r="J26" s="3"/>
      <c r="K26" s="2"/>
      <c r="L26" s="2"/>
      <c r="M26" s="2"/>
      <c r="N26" s="2"/>
      <c r="O26" s="2"/>
      <c r="P26" s="2"/>
      <c r="Q26" s="3"/>
      <c r="R26" s="3"/>
      <c r="S26" s="2"/>
      <c r="T26" s="2"/>
      <c r="U26" s="2"/>
      <c r="V26" s="2"/>
      <c r="W26" s="2"/>
      <c r="X26" s="2"/>
      <c r="Y26" s="65"/>
      <c r="Z26" s="2"/>
      <c r="AA26" s="2"/>
    </row>
    <row r="27" customFormat="false" ht="15.75" hidden="false" customHeight="false" outlineLevel="0" collapsed="false">
      <c r="A27" s="2"/>
      <c r="B27" s="2"/>
      <c r="C27" s="2"/>
      <c r="D27" s="3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5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5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5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5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5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mergeCells count="32">
    <mergeCell ref="A1:AA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A3:AA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G25:H25"/>
    <mergeCell ref="O25:P2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>
  <sheetPr filterMode="false">
    <outlinePr summaryBelow="0"/>
    <pageSetUpPr fitToPage="true"/>
  </sheetPr>
  <dimension ref="A1:AA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1084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3" t="s">
        <v>11</v>
      </c>
      <c r="D4" s="14" t="s">
        <v>12</v>
      </c>
      <c r="E4" s="15" t="s">
        <v>13</v>
      </c>
      <c r="F4" s="15"/>
      <c r="G4" s="16" t="s">
        <v>14</v>
      </c>
      <c r="H4" s="17" t="s">
        <v>15</v>
      </c>
      <c r="I4" s="18" t="s">
        <v>11</v>
      </c>
      <c r="J4" s="18" t="s">
        <v>12</v>
      </c>
      <c r="K4" s="19" t="s">
        <v>16</v>
      </c>
      <c r="L4" s="19"/>
      <c r="M4" s="20" t="s">
        <v>17</v>
      </c>
      <c r="N4" s="21" t="s">
        <v>18</v>
      </c>
      <c r="O4" s="22" t="s">
        <v>14</v>
      </c>
      <c r="P4" s="23" t="s">
        <v>15</v>
      </c>
      <c r="Q4" s="23" t="s">
        <v>11</v>
      </c>
      <c r="R4" s="23" t="s">
        <v>12</v>
      </c>
      <c r="S4" s="24" t="s">
        <v>13</v>
      </c>
      <c r="T4" s="24"/>
      <c r="U4" s="9" t="s">
        <v>17</v>
      </c>
      <c r="V4" s="25" t="s">
        <v>18</v>
      </c>
      <c r="W4" s="20" t="s">
        <v>17</v>
      </c>
      <c r="X4" s="21" t="s">
        <v>18</v>
      </c>
      <c r="Y4" s="10"/>
      <c r="Z4" s="11"/>
      <c r="AA4" s="11"/>
    </row>
    <row r="5" customFormat="false" ht="19.7" hidden="false" customHeight="false" outlineLevel="0" collapsed="false">
      <c r="A5" s="4"/>
      <c r="B5" s="4"/>
      <c r="C5" s="13"/>
      <c r="D5" s="14"/>
      <c r="E5" s="14" t="s">
        <v>19</v>
      </c>
      <c r="F5" s="15" t="s">
        <v>20</v>
      </c>
      <c r="G5" s="16"/>
      <c r="H5" s="17"/>
      <c r="I5" s="17"/>
      <c r="J5" s="17"/>
      <c r="K5" s="17" t="s">
        <v>19</v>
      </c>
      <c r="L5" s="19" t="s">
        <v>20</v>
      </c>
      <c r="M5" s="20"/>
      <c r="N5" s="21"/>
      <c r="O5" s="22"/>
      <c r="P5" s="23"/>
      <c r="Q5" s="23"/>
      <c r="R5" s="23"/>
      <c r="S5" s="23" t="s">
        <v>11</v>
      </c>
      <c r="T5" s="24" t="s">
        <v>20</v>
      </c>
      <c r="U5" s="9"/>
      <c r="V5" s="25"/>
      <c r="W5" s="20"/>
      <c r="X5" s="21"/>
      <c r="Y5" s="10"/>
      <c r="Z5" s="11"/>
      <c r="AA5" s="11"/>
    </row>
    <row r="6" customFormat="false" ht="22.35" hidden="false" customHeight="false" outlineLevel="0" collapsed="false">
      <c r="A6" s="100" t="s">
        <v>1085</v>
      </c>
      <c r="B6" s="100" t="s"/>
      <c r="C6" s="27" t="n">
        <v>3</v>
      </c>
      <c r="D6" s="28" t="n">
        <v>1250</v>
      </c>
      <c r="E6" s="29"/>
      <c r="F6" s="30"/>
      <c r="G6" s="83" t="s">
        <v>1086</v>
      </c>
      <c r="H6" s="98" t="s">
        <v>1087</v>
      </c>
      <c r="I6" s="84" t="n">
        <v>2</v>
      </c>
      <c r="J6" s="33" t="n">
        <v>400</v>
      </c>
      <c r="K6" s="46"/>
      <c r="L6" s="34"/>
      <c r="M6" s="35" t="n">
        <f aca="false">SUM(C6,I6)</f>
        <v>5</v>
      </c>
      <c r="N6" s="36" t="n">
        <f aca="false">SUM(D6,J6)</f>
        <v>1650</v>
      </c>
      <c r="O6" s="38" t="s">
        <v>1088</v>
      </c>
      <c r="P6" s="38" t="s">
        <v>1089</v>
      </c>
      <c r="Q6" s="38" t="n">
        <v>20</v>
      </c>
      <c r="R6" s="39" t="n">
        <v>29750.91</v>
      </c>
      <c r="S6" s="40"/>
      <c r="T6" s="41"/>
      <c r="U6" s="42" t="n">
        <f aca="false">SUM(Q6)</f>
        <v>20</v>
      </c>
      <c r="V6" s="90" t="n">
        <f aca="false">SUM(R6)</f>
        <v>29750.91</v>
      </c>
      <c r="W6" s="35" t="n">
        <f aca="false">SUM(M6,Q6)</f>
        <v>25</v>
      </c>
      <c r="X6" s="44" t="n">
        <f aca="false">SUM(N6,R6)</f>
        <v>31400.91</v>
      </c>
      <c r="Y6" s="45"/>
      <c r="Z6" s="40" t="n">
        <v>938</v>
      </c>
      <c r="AA6" s="40" t="s">
        <v>1090</v>
      </c>
    </row>
    <row r="7" customFormat="false" ht="22.35" hidden="false" customHeight="false" outlineLevel="0" collapsed="false">
      <c r="A7" s="100" t="s">
        <v>1090</v>
      </c>
      <c r="B7" s="100" t="s"/>
      <c r="C7" s="27" t="n">
        <v>1</v>
      </c>
      <c r="D7" s="28" t="n">
        <v>200</v>
      </c>
      <c r="E7" s="29"/>
      <c r="F7" s="30"/>
      <c r="G7" s="83" t="s">
        <v>1091</v>
      </c>
      <c r="H7" s="46" t="s">
        <v>38</v>
      </c>
      <c r="I7" s="84" t="n">
        <v>1</v>
      </c>
      <c r="J7" s="33" t="n">
        <v>2500</v>
      </c>
      <c r="K7" s="46"/>
      <c r="L7" s="34"/>
      <c r="M7" s="35" t="n">
        <f aca="false">SUM(C7,I7)</f>
        <v>2</v>
      </c>
      <c r="N7" s="36" t="n">
        <f aca="false">SUM(D7,J7)</f>
        <v>2700</v>
      </c>
      <c r="O7" s="38" t="s">
        <v>1092</v>
      </c>
      <c r="P7" s="38" t="s">
        <v>1093</v>
      </c>
      <c r="Q7" s="38" t="n">
        <v>21</v>
      </c>
      <c r="R7" s="39" t="n">
        <v>36715.97</v>
      </c>
      <c r="S7" s="40"/>
      <c r="T7" s="41"/>
      <c r="U7" s="42" t="n">
        <f aca="false">SUM(Q7)</f>
        <v>21</v>
      </c>
      <c r="V7" s="90" t="n">
        <f aca="false">SUM(R7)</f>
        <v>36715.97</v>
      </c>
      <c r="W7" s="35" t="n">
        <f aca="false">SUM(M7,Q7)</f>
        <v>23</v>
      </c>
      <c r="X7" s="44" t="n">
        <f aca="false">SUM(N7,R7)</f>
        <v>39415.97</v>
      </c>
      <c r="Y7" s="45"/>
      <c r="Z7" s="40" t="n">
        <v>945</v>
      </c>
      <c r="AA7" s="40" t="s">
        <v>1094</v>
      </c>
    </row>
    <row r="8" customFormat="false" ht="22.35" hidden="false" customHeight="false" outlineLevel="0" collapsed="false">
      <c r="A8" s="100" t="s">
        <v>1094</v>
      </c>
      <c r="B8" s="100" t="s"/>
      <c r="C8" s="27" t="n">
        <v>1</v>
      </c>
      <c r="D8" s="28" t="n">
        <v>300</v>
      </c>
      <c r="E8" s="29"/>
      <c r="F8" s="30"/>
      <c r="G8" s="83" t="s">
        <v>1095</v>
      </c>
      <c r="H8" s="32" t="s">
        <v>1096</v>
      </c>
      <c r="I8" s="84" t="n">
        <v>5</v>
      </c>
      <c r="J8" s="33" t="n">
        <v>3500</v>
      </c>
      <c r="K8" s="46"/>
      <c r="L8" s="34"/>
      <c r="M8" s="35" t="n">
        <f aca="false">SUM(C8,I8)</f>
        <v>6</v>
      </c>
      <c r="N8" s="36" t="n">
        <f aca="false">SUM(D8,J8)</f>
        <v>3800</v>
      </c>
      <c r="O8" s="38" t="s">
        <v>1097</v>
      </c>
      <c r="P8" s="38" t="s">
        <v>1098</v>
      </c>
      <c r="Q8" s="38" t="n">
        <v>21</v>
      </c>
      <c r="R8" s="39" t="n">
        <v>35972.95</v>
      </c>
      <c r="S8" s="40"/>
      <c r="T8" s="41"/>
      <c r="U8" s="42" t="n">
        <f aca="false">SUM(Q8)</f>
        <v>21</v>
      </c>
      <c r="V8" s="90" t="n">
        <f aca="false">SUM(R8)</f>
        <v>35972.95</v>
      </c>
      <c r="W8" s="35" t="n">
        <f aca="false">SUM(M8,Q8)</f>
        <v>27</v>
      </c>
      <c r="X8" s="44" t="n">
        <f aca="false">SUM(N8,R8)</f>
        <v>39772.95</v>
      </c>
      <c r="Y8" s="96"/>
      <c r="Z8" s="40" t="n">
        <v>950</v>
      </c>
      <c r="AA8" s="40" t="s">
        <v>1099</v>
      </c>
    </row>
    <row r="9" customFormat="false" ht="22.35" hidden="false" customHeight="false" outlineLevel="0" collapsed="false">
      <c r="A9" s="100" t="s">
        <v>1099</v>
      </c>
      <c r="B9" s="100" t="s"/>
      <c r="C9" s="27" t="n">
        <v>1</v>
      </c>
      <c r="D9" s="28" t="n">
        <v>13400</v>
      </c>
      <c r="E9" s="29"/>
      <c r="F9" s="30"/>
      <c r="G9" s="83" t="s">
        <v>1100</v>
      </c>
      <c r="H9" s="46" t="s">
        <v>38</v>
      </c>
      <c r="I9" s="84" t="n">
        <v>1</v>
      </c>
      <c r="J9" s="33" t="n">
        <v>1400</v>
      </c>
      <c r="K9" s="46"/>
      <c r="L9" s="34"/>
      <c r="M9" s="35" t="n">
        <f aca="false">SUM(C9,I9)</f>
        <v>2</v>
      </c>
      <c r="N9" s="36" t="n">
        <f aca="false">SUM(D9,J9)</f>
        <v>14800</v>
      </c>
      <c r="O9" s="38" t="s">
        <v>1101</v>
      </c>
      <c r="P9" s="38" t="s">
        <v>1102</v>
      </c>
      <c r="Q9" s="38" t="n">
        <v>14</v>
      </c>
      <c r="R9" s="39" t="n">
        <v>33480.64</v>
      </c>
      <c r="S9" s="40"/>
      <c r="T9" s="41"/>
      <c r="U9" s="42" t="n">
        <f aca="false">SUM(Q9)</f>
        <v>14</v>
      </c>
      <c r="V9" s="90" t="n">
        <f aca="false">SUM(R9)</f>
        <v>33480.64</v>
      </c>
      <c r="W9" s="35" t="n">
        <f aca="false">SUM(M9,Q9)</f>
        <v>16</v>
      </c>
      <c r="X9" s="44" t="n">
        <f aca="false">SUM(N9,R9)</f>
        <v>48280.64</v>
      </c>
      <c r="Y9" s="45"/>
      <c r="Z9" s="40" t="n">
        <v>956</v>
      </c>
      <c r="AA9" s="40" t="s">
        <v>1103</v>
      </c>
    </row>
    <row r="10" customFormat="false" ht="22.35" hidden="false" customHeight="false" outlineLevel="0" collapsed="false">
      <c r="A10" s="100" t="s">
        <v>1103</v>
      </c>
      <c r="B10" s="100" t="s"/>
      <c r="C10" s="27" t="n">
        <v>1</v>
      </c>
      <c r="D10" s="28" t="n">
        <v>200</v>
      </c>
      <c r="E10" s="29"/>
      <c r="F10" s="30"/>
      <c r="G10" s="85" t="s">
        <v>38</v>
      </c>
      <c r="H10" s="46" t="s">
        <v>38</v>
      </c>
      <c r="I10" s="84" t="s">
        <v>38</v>
      </c>
      <c r="J10" s="33" t="s">
        <v>38</v>
      </c>
      <c r="K10" s="46"/>
      <c r="L10" s="34"/>
      <c r="M10" s="35" t="n">
        <f aca="false">SUM(C10,I10)</f>
        <v>1</v>
      </c>
      <c r="N10" s="36" t="n">
        <f aca="false">SUM(D10,J10)</f>
        <v>200</v>
      </c>
      <c r="O10" s="38" t="s">
        <v>1104</v>
      </c>
      <c r="P10" s="38" t="s">
        <v>1105</v>
      </c>
      <c r="Q10" s="38" t="n">
        <v>17</v>
      </c>
      <c r="R10" s="39" t="n">
        <v>28756.69</v>
      </c>
      <c r="S10" s="40"/>
      <c r="T10" s="41"/>
      <c r="U10" s="42" t="n">
        <f aca="false">SUM(Q10)</f>
        <v>17</v>
      </c>
      <c r="V10" s="90" t="n">
        <f aca="false">SUM(R10)</f>
        <v>28756.69</v>
      </c>
      <c r="W10" s="35" t="n">
        <f aca="false">SUM(M10,Q10)</f>
        <v>18</v>
      </c>
      <c r="X10" s="44" t="n">
        <f aca="false">SUM(N10,R10)</f>
        <v>28956.69</v>
      </c>
      <c r="Y10" s="45"/>
      <c r="Z10" s="40" t="n">
        <v>962</v>
      </c>
      <c r="AA10" s="40" t="s">
        <v>1106</v>
      </c>
    </row>
    <row r="11" customFormat="false" ht="22.35" hidden="false" customHeight="false" outlineLevel="0" collapsed="false">
      <c r="A11" s="100" t="s">
        <v>1107</v>
      </c>
      <c r="B11" s="100" t="s"/>
      <c r="C11" s="27" t="n">
        <v>2</v>
      </c>
      <c r="D11" s="28" t="n">
        <v>650</v>
      </c>
      <c r="E11" s="29"/>
      <c r="F11" s="30"/>
      <c r="G11" s="83" t="s">
        <v>1108</v>
      </c>
      <c r="H11" s="32" t="s">
        <v>1109</v>
      </c>
      <c r="I11" s="84" t="n">
        <v>5</v>
      </c>
      <c r="J11" s="33" t="n">
        <v>1800</v>
      </c>
      <c r="K11" s="46"/>
      <c r="L11" s="34"/>
      <c r="M11" s="35" t="n">
        <f aca="false">SUM(C11,I11)</f>
        <v>7</v>
      </c>
      <c r="N11" s="36" t="n">
        <f aca="false">SUM(D11,J11)</f>
        <v>2450</v>
      </c>
      <c r="O11" s="38" t="s">
        <v>1110</v>
      </c>
      <c r="P11" s="38" t="s">
        <v>1111</v>
      </c>
      <c r="Q11" s="38" t="n">
        <v>14</v>
      </c>
      <c r="R11" s="39" t="n">
        <v>19298.98</v>
      </c>
      <c r="S11" s="40"/>
      <c r="T11" s="41"/>
      <c r="U11" s="42" t="n">
        <f aca="false">SUM(Q11)</f>
        <v>14</v>
      </c>
      <c r="V11" s="90" t="n">
        <f aca="false">SUM(R11)</f>
        <v>19298.98</v>
      </c>
      <c r="W11" s="35" t="n">
        <f aca="false">SUM(M11,Q11)</f>
        <v>21</v>
      </c>
      <c r="X11" s="44" t="n">
        <f aca="false">SUM(N11,R11)</f>
        <v>21748.98</v>
      </c>
      <c r="Y11" s="45"/>
      <c r="Z11" s="40" t="n">
        <v>968</v>
      </c>
      <c r="AA11" s="40" t="s">
        <v>1112</v>
      </c>
    </row>
    <row r="12" customFormat="false" ht="22.35" hidden="false" customHeight="false" outlineLevel="0" collapsed="false">
      <c r="A12" s="100" t="s">
        <v>1112</v>
      </c>
      <c r="B12" s="100" t="s"/>
      <c r="C12" s="27" t="n">
        <v>1</v>
      </c>
      <c r="D12" s="28" t="n">
        <v>1000</v>
      </c>
      <c r="E12" s="29"/>
      <c r="F12" s="30"/>
      <c r="G12" s="83" t="s">
        <v>1113</v>
      </c>
      <c r="H12" s="32" t="s">
        <v>1114</v>
      </c>
      <c r="I12" s="84" t="n">
        <v>4</v>
      </c>
      <c r="J12" s="33" t="n">
        <v>1200</v>
      </c>
      <c r="K12" s="46"/>
      <c r="L12" s="34"/>
      <c r="M12" s="35" t="n">
        <f aca="false">SUM(C12,I12)</f>
        <v>5</v>
      </c>
      <c r="N12" s="36" t="n">
        <f aca="false">SUM(D12,J12)</f>
        <v>2200</v>
      </c>
      <c r="O12" s="38" t="s">
        <v>1115</v>
      </c>
      <c r="P12" s="38" t="s">
        <v>1116</v>
      </c>
      <c r="Q12" s="38" t="n">
        <v>18</v>
      </c>
      <c r="R12" s="39" t="n">
        <v>26631.16</v>
      </c>
      <c r="S12" s="40"/>
      <c r="T12" s="41"/>
      <c r="U12" s="42" t="n">
        <f aca="false">SUM(Q12)</f>
        <v>18</v>
      </c>
      <c r="V12" s="90" t="n">
        <f aca="false">SUM(R12)</f>
        <v>26631.16</v>
      </c>
      <c r="W12" s="35" t="n">
        <f aca="false">SUM(M12,Q12)</f>
        <v>23</v>
      </c>
      <c r="X12" s="44" t="n">
        <f aca="false">SUM(N12,R12)</f>
        <v>28831.16</v>
      </c>
      <c r="Y12" s="45"/>
      <c r="Z12" s="40" t="n">
        <v>978</v>
      </c>
      <c r="AA12" s="40" t="s">
        <v>1117</v>
      </c>
    </row>
    <row r="13" customFormat="false" ht="22.35" hidden="false" customHeight="false" outlineLevel="0" collapsed="false">
      <c r="A13" s="100" t="s">
        <v>1118</v>
      </c>
      <c r="B13" s="100" t="s"/>
      <c r="C13" s="27" t="n">
        <v>1</v>
      </c>
      <c r="D13" s="28" t="n">
        <v>1000</v>
      </c>
      <c r="E13" s="29"/>
      <c r="F13" s="30"/>
      <c r="G13" s="83" t="s">
        <v>1119</v>
      </c>
      <c r="H13" s="32" t="s">
        <v>1120</v>
      </c>
      <c r="I13" s="84" t="n">
        <v>4</v>
      </c>
      <c r="J13" s="33" t="n">
        <v>1900</v>
      </c>
      <c r="K13" s="46"/>
      <c r="L13" s="34"/>
      <c r="M13" s="35" t="n">
        <f aca="false">SUM(C13,I13)</f>
        <v>5</v>
      </c>
      <c r="N13" s="36" t="n">
        <f aca="false">SUM(D13,J13)</f>
        <v>2900</v>
      </c>
      <c r="O13" s="38" t="s">
        <v>1121</v>
      </c>
      <c r="P13" s="38" t="s">
        <v>1122</v>
      </c>
      <c r="Q13" s="38" t="n">
        <v>25</v>
      </c>
      <c r="R13" s="39" t="n">
        <v>39048.02</v>
      </c>
      <c r="S13" s="40"/>
      <c r="T13" s="41"/>
      <c r="U13" s="42" t="n">
        <f aca="false">SUM(Q13)</f>
        <v>25</v>
      </c>
      <c r="V13" s="90" t="n">
        <f aca="false">SUM(R13)</f>
        <v>39048.02</v>
      </c>
      <c r="W13" s="35" t="n">
        <f aca="false">SUM(M13,Q13)</f>
        <v>30</v>
      </c>
      <c r="X13" s="44" t="n">
        <f aca="false">SUM(N13,R13)</f>
        <v>41948.02</v>
      </c>
      <c r="Y13" s="45"/>
      <c r="Z13" s="40" t="n">
        <v>980</v>
      </c>
      <c r="AA13" s="40" t="s">
        <v>1123</v>
      </c>
    </row>
    <row r="14" customFormat="false" ht="22.35" hidden="false" customHeight="false" outlineLevel="0" collapsed="false">
      <c r="A14" s="100" t="s">
        <v>1123</v>
      </c>
      <c r="B14" s="100" t="s"/>
      <c r="C14" s="27" t="n">
        <v>1</v>
      </c>
      <c r="D14" s="28" t="n">
        <v>200</v>
      </c>
      <c r="E14" s="29"/>
      <c r="F14" s="30"/>
      <c r="G14" s="83" t="s">
        <v>1124</v>
      </c>
      <c r="H14" s="32" t="s">
        <v>1125</v>
      </c>
      <c r="I14" s="84" t="n">
        <v>4</v>
      </c>
      <c r="J14" s="33" t="n">
        <v>1600</v>
      </c>
      <c r="K14" s="46"/>
      <c r="L14" s="34"/>
      <c r="M14" s="35" t="n">
        <f aca="false">SUM(C14,I14)</f>
        <v>5</v>
      </c>
      <c r="N14" s="36" t="n">
        <f aca="false">SUM(D14,J14)</f>
        <v>1800</v>
      </c>
      <c r="O14" s="38" t="s">
        <v>1126</v>
      </c>
      <c r="P14" s="38" t="s">
        <v>1127</v>
      </c>
      <c r="Q14" s="38" t="n">
        <v>25</v>
      </c>
      <c r="R14" s="39" t="n">
        <v>38962.96</v>
      </c>
      <c r="S14" s="40"/>
      <c r="T14" s="41"/>
      <c r="U14" s="42" t="n">
        <f aca="false">SUM(Q14)</f>
        <v>25</v>
      </c>
      <c r="V14" s="90" t="n">
        <f aca="false">SUM(R14)</f>
        <v>38962.96</v>
      </c>
      <c r="W14" s="35" t="n">
        <f aca="false">SUM(M14,Q14)</f>
        <v>30</v>
      </c>
      <c r="X14" s="44" t="n">
        <f aca="false">SUM(N14,R14)</f>
        <v>40762.96</v>
      </c>
      <c r="Y14" s="45"/>
      <c r="Z14" s="40" t="n">
        <v>986</v>
      </c>
      <c r="AA14" s="40" t="s">
        <v>1128</v>
      </c>
    </row>
    <row r="15" customFormat="false" ht="22.35" hidden="false" customHeight="false" outlineLevel="0" collapsed="false">
      <c r="A15" s="100" t="s">
        <v>1129</v>
      </c>
      <c r="B15" s="100" t="s"/>
      <c r="C15" s="27" t="n">
        <v>1</v>
      </c>
      <c r="D15" s="28" t="n">
        <v>200</v>
      </c>
      <c r="E15" s="29"/>
      <c r="F15" s="30"/>
      <c r="G15" s="83" t="s">
        <v>1130</v>
      </c>
      <c r="H15" s="32" t="s">
        <v>1131</v>
      </c>
      <c r="I15" s="84" t="n">
        <v>13</v>
      </c>
      <c r="J15" s="33" t="n">
        <v>8400</v>
      </c>
      <c r="K15" s="46"/>
      <c r="L15" s="34"/>
      <c r="M15" s="35" t="n">
        <f aca="false">SUM(C15,I15)</f>
        <v>14</v>
      </c>
      <c r="N15" s="36" t="n">
        <f aca="false">SUM(D15,J15)</f>
        <v>8600</v>
      </c>
      <c r="O15" s="38" t="s">
        <v>1132</v>
      </c>
      <c r="P15" s="38" t="s">
        <v>1133</v>
      </c>
      <c r="Q15" s="38" t="n">
        <v>54</v>
      </c>
      <c r="R15" s="39" t="n">
        <v>95389.33</v>
      </c>
      <c r="S15" s="40"/>
      <c r="T15" s="41"/>
      <c r="U15" s="42" t="n">
        <f aca="false">SUM(Q15)</f>
        <v>54</v>
      </c>
      <c r="V15" s="90" t="n">
        <f aca="false">SUM(R15)</f>
        <v>95389.33</v>
      </c>
      <c r="W15" s="35" t="n">
        <f aca="false">SUM(M15,Q15)</f>
        <v>68</v>
      </c>
      <c r="X15" s="44" t="n">
        <f aca="false">SUM(N15,R15)</f>
        <v>103989.33</v>
      </c>
      <c r="Y15" s="45"/>
      <c r="Z15" s="40" t="n">
        <v>994</v>
      </c>
      <c r="AA15" s="40" t="s">
        <v>1134</v>
      </c>
    </row>
    <row r="16" customFormat="false" ht="22.35" hidden="false" customHeight="false" outlineLevel="0" collapsed="false">
      <c r="A16" s="100" t="s">
        <v>1134</v>
      </c>
      <c r="B16" s="100" t="s"/>
      <c r="C16" s="27" t="n">
        <v>11</v>
      </c>
      <c r="D16" s="28" t="n">
        <v>6800</v>
      </c>
      <c r="E16" s="29"/>
      <c r="F16" s="30"/>
      <c r="G16" s="32" t="s">
        <v>1135</v>
      </c>
      <c r="H16" s="32" t="s">
        <v>1136</v>
      </c>
      <c r="I16" s="84" t="n">
        <v>3</v>
      </c>
      <c r="J16" s="33" t="n">
        <v>1200</v>
      </c>
      <c r="K16" s="46"/>
      <c r="L16" s="34"/>
      <c r="M16" s="35" t="n">
        <f aca="false">SUM(C16,I16)</f>
        <v>14</v>
      </c>
      <c r="N16" s="36" t="n">
        <f aca="false">SUM(D16,J16)</f>
        <v>8000</v>
      </c>
      <c r="O16" s="38" t="s">
        <v>1137</v>
      </c>
      <c r="P16" s="38" t="s">
        <v>1138</v>
      </c>
      <c r="Q16" s="38" t="n">
        <v>39</v>
      </c>
      <c r="R16" s="39" t="n">
        <v>71080.08</v>
      </c>
      <c r="S16" s="40"/>
      <c r="T16" s="41"/>
      <c r="U16" s="42" t="n">
        <f aca="false">SUM(Q16)</f>
        <v>39</v>
      </c>
      <c r="V16" s="90" t="n">
        <f aca="false">SUM(R16)</f>
        <v>71080.08</v>
      </c>
      <c r="W16" s="35" t="n">
        <f aca="false">SUM(M16,Q16)</f>
        <v>53</v>
      </c>
      <c r="X16" s="44" t="n">
        <f aca="false">SUM(N16,R16)</f>
        <v>79080.08</v>
      </c>
      <c r="Y16" s="47"/>
      <c r="Z16" s="40" t="n">
        <v>1003</v>
      </c>
      <c r="AA16" s="40" t="s">
        <v>1139</v>
      </c>
    </row>
    <row r="17" customFormat="false" ht="22.35" hidden="false" customHeight="false" outlineLevel="0" collapsed="false">
      <c r="A17" s="100" t="s">
        <v>1139</v>
      </c>
      <c r="B17" s="100" t="s"/>
      <c r="C17" s="27" t="n">
        <v>3</v>
      </c>
      <c r="D17" s="28" t="n">
        <v>4600</v>
      </c>
      <c r="E17" s="29"/>
      <c r="F17" s="30"/>
      <c r="G17" s="32" t="s">
        <v>1140</v>
      </c>
      <c r="H17" s="32" t="s">
        <v>1141</v>
      </c>
      <c r="I17" s="84" t="n">
        <v>6</v>
      </c>
      <c r="J17" s="33" t="n">
        <v>4350</v>
      </c>
      <c r="K17" s="46"/>
      <c r="L17" s="34"/>
      <c r="M17" s="35" t="n">
        <f aca="false">SUM(C17,I17)</f>
        <v>9</v>
      </c>
      <c r="N17" s="36" t="n">
        <f aca="false">SUM(D17,J17)</f>
        <v>8950</v>
      </c>
      <c r="O17" s="38" t="s">
        <v>1142</v>
      </c>
      <c r="P17" s="38" t="s">
        <v>1143</v>
      </c>
      <c r="Q17" s="38" t="n">
        <v>26</v>
      </c>
      <c r="R17" s="39" t="n">
        <v>39609.75</v>
      </c>
      <c r="S17" s="40"/>
      <c r="T17" s="41"/>
      <c r="U17" s="42" t="n">
        <f aca="false">SUM(Q17)</f>
        <v>26</v>
      </c>
      <c r="V17" s="90" t="n">
        <f aca="false">SUM(R17)</f>
        <v>39609.75</v>
      </c>
      <c r="W17" s="35" t="n">
        <f aca="false">SUM(M17,Q17)</f>
        <v>35</v>
      </c>
      <c r="X17" s="44" t="n">
        <f aca="false">SUM(N17,R17)</f>
        <v>48559.75</v>
      </c>
      <c r="Y17" s="47"/>
      <c r="Z17" s="40" t="n">
        <v>1009</v>
      </c>
      <c r="AA17" s="40" t="s">
        <v>1144</v>
      </c>
    </row>
    <row r="18" customFormat="false" ht="22.35" hidden="false" customHeight="false" outlineLevel="0" collapsed="false">
      <c r="A18" s="100" t="s">
        <v>1144</v>
      </c>
      <c r="B18" s="100" t="s"/>
      <c r="C18" s="27" t="s">
        <v>38</v>
      </c>
      <c r="D18" s="28" t="s">
        <v>38</v>
      </c>
      <c r="E18" s="29"/>
      <c r="F18" s="30"/>
      <c r="G18" s="83" t="s">
        <v>1145</v>
      </c>
      <c r="H18" s="32" t="s">
        <v>1146</v>
      </c>
      <c r="I18" s="84" t="n">
        <v>2</v>
      </c>
      <c r="J18" s="33" t="n">
        <v>1200</v>
      </c>
      <c r="K18" s="46" t="n">
        <v>1</v>
      </c>
      <c r="L18" s="97" t="s">
        <v>1147</v>
      </c>
      <c r="M18" s="35" t="n">
        <f aca="false">SUM(C18,I18)</f>
        <v>2</v>
      </c>
      <c r="N18" s="36" t="n">
        <f aca="false">SUM(D18,J18)</f>
        <v>1200</v>
      </c>
      <c r="O18" s="38" t="s">
        <v>1148</v>
      </c>
      <c r="P18" s="38" t="s">
        <v>1149</v>
      </c>
      <c r="Q18" s="38" t="n">
        <v>22</v>
      </c>
      <c r="R18" s="39" t="n">
        <v>30495.14</v>
      </c>
      <c r="S18" s="40"/>
      <c r="T18" s="41"/>
      <c r="U18" s="42" t="n">
        <f aca="false">SUM(Q18)</f>
        <v>22</v>
      </c>
      <c r="V18" s="90" t="n">
        <f aca="false">SUM(R18)</f>
        <v>30495.14</v>
      </c>
      <c r="W18" s="35" t="n">
        <f aca="false">SUM(M18,Q18)</f>
        <v>24</v>
      </c>
      <c r="X18" s="44" t="n">
        <f aca="false">SUM(N18,R18)</f>
        <v>31695.14</v>
      </c>
      <c r="Y18" s="107" t="s">
        <v>1150</v>
      </c>
      <c r="Z18" s="40" t="n">
        <v>1014</v>
      </c>
      <c r="AA18" s="40" t="s">
        <v>1151</v>
      </c>
    </row>
    <row r="19" customFormat="false" ht="22.35" hidden="false" customHeight="false" outlineLevel="0" collapsed="false">
      <c r="A19" s="100" t="s">
        <v>1151</v>
      </c>
      <c r="B19" s="100" t="s"/>
      <c r="C19" s="27" t="n">
        <v>1</v>
      </c>
      <c r="D19" s="28" t="n">
        <v>200</v>
      </c>
      <c r="E19" s="29"/>
      <c r="F19" s="30"/>
      <c r="G19" s="83" t="s">
        <v>1152</v>
      </c>
      <c r="H19" s="32" t="s">
        <v>1153</v>
      </c>
      <c r="I19" s="84" t="n">
        <v>2</v>
      </c>
      <c r="J19" s="33" t="n">
        <v>2000</v>
      </c>
      <c r="K19" s="46"/>
      <c r="L19" s="34"/>
      <c r="M19" s="35" t="n">
        <f aca="false">SUM(C19,I19)</f>
        <v>3</v>
      </c>
      <c r="N19" s="36" t="n">
        <f aca="false">SUM(D19,J19)</f>
        <v>2200</v>
      </c>
      <c r="O19" s="38" t="s">
        <v>1154</v>
      </c>
      <c r="P19" s="38" t="s">
        <v>1155</v>
      </c>
      <c r="Q19" s="38" t="n">
        <v>24</v>
      </c>
      <c r="R19" s="39" t="n">
        <v>39466.96</v>
      </c>
      <c r="S19" s="40"/>
      <c r="T19" s="41"/>
      <c r="U19" s="42" t="n">
        <f aca="false">SUM(Q19)</f>
        <v>24</v>
      </c>
      <c r="V19" s="90" t="n">
        <f aca="false">SUM(R19)</f>
        <v>39466.96</v>
      </c>
      <c r="W19" s="35" t="n">
        <f aca="false">SUM(M19,Q19)</f>
        <v>27</v>
      </c>
      <c r="X19" s="44" t="n">
        <f aca="false">SUM(N19,R19)</f>
        <v>41666.96</v>
      </c>
      <c r="Y19" s="45"/>
      <c r="Z19" s="40" t="n">
        <v>1020</v>
      </c>
      <c r="AA19" s="40" t="s">
        <v>1156</v>
      </c>
    </row>
    <row r="20" customFormat="false" ht="22.35" hidden="false" customHeight="false" outlineLevel="0" collapsed="false">
      <c r="A20" s="100" t="s">
        <v>1157</v>
      </c>
      <c r="B20" s="100" t="s"/>
      <c r="C20" s="27" t="n">
        <v>4</v>
      </c>
      <c r="D20" s="28" t="n">
        <v>1250</v>
      </c>
      <c r="E20" s="29"/>
      <c r="F20" s="30"/>
      <c r="G20" s="83" t="s">
        <v>1158</v>
      </c>
      <c r="H20" s="46" t="s">
        <v>38</v>
      </c>
      <c r="I20" s="84" t="n">
        <v>1</v>
      </c>
      <c r="J20" s="33" t="n">
        <v>2500</v>
      </c>
      <c r="K20" s="46"/>
      <c r="L20" s="34"/>
      <c r="M20" s="35" t="n">
        <f aca="false">SUM(C20,I20)</f>
        <v>5</v>
      </c>
      <c r="N20" s="36" t="n">
        <f aca="false">SUM(D20,J20)</f>
        <v>3750</v>
      </c>
      <c r="O20" s="38" t="s">
        <v>1159</v>
      </c>
      <c r="P20" s="38" t="s">
        <v>1160</v>
      </c>
      <c r="Q20" s="38" t="n">
        <v>34</v>
      </c>
      <c r="R20" s="39" t="n">
        <v>56927.26</v>
      </c>
      <c r="S20" s="40"/>
      <c r="T20" s="41"/>
      <c r="U20" s="42" t="n">
        <f aca="false">SUM(Q20)</f>
        <v>34</v>
      </c>
      <c r="V20" s="90" t="n">
        <f aca="false">SUM(R20)</f>
        <v>56927.26</v>
      </c>
      <c r="W20" s="35" t="n">
        <f aca="false">SUM(M20,Q20)</f>
        <v>39</v>
      </c>
      <c r="X20" s="44" t="n">
        <f aca="false">SUM(N20,R20)</f>
        <v>60677.26</v>
      </c>
      <c r="Y20" s="45"/>
      <c r="Z20" s="40" t="n">
        <v>1025</v>
      </c>
      <c r="AA20" s="40" t="s">
        <v>1161</v>
      </c>
    </row>
    <row r="21" customFormat="false" ht="22.35" hidden="false" customHeight="false" outlineLevel="0" collapsed="false">
      <c r="A21" s="100" t="s">
        <v>1161</v>
      </c>
      <c r="B21" s="100" t="s"/>
      <c r="C21" s="27" t="n">
        <v>2</v>
      </c>
      <c r="D21" s="28" t="n">
        <v>700</v>
      </c>
      <c r="E21" s="29"/>
      <c r="F21" s="30"/>
      <c r="G21" s="83" t="s">
        <v>1162</v>
      </c>
      <c r="H21" s="32" t="s">
        <v>1163</v>
      </c>
      <c r="I21" s="84" t="n">
        <v>4</v>
      </c>
      <c r="J21" s="33" t="n">
        <v>2300</v>
      </c>
      <c r="K21" s="46"/>
      <c r="L21" s="34"/>
      <c r="M21" s="35" t="n">
        <f aca="false">SUM(C21,I21)</f>
        <v>6</v>
      </c>
      <c r="N21" s="36" t="n">
        <f aca="false">SUM(D21,J21)</f>
        <v>3000</v>
      </c>
      <c r="O21" s="37" t="s">
        <v>1164</v>
      </c>
      <c r="P21" s="38" t="s">
        <v>1165</v>
      </c>
      <c r="Q21" s="38" t="n">
        <v>33</v>
      </c>
      <c r="R21" s="39" t="n">
        <v>66720.45</v>
      </c>
      <c r="S21" s="40"/>
      <c r="T21" s="41"/>
      <c r="U21" s="42" t="n">
        <f aca="false">SUM(Q21)</f>
        <v>33</v>
      </c>
      <c r="V21" s="90" t="n">
        <f aca="false">SUM(R21)</f>
        <v>66720.45</v>
      </c>
      <c r="W21" s="35" t="n">
        <f aca="false">SUM(M21,Q21)</f>
        <v>39</v>
      </c>
      <c r="X21" s="44" t="n">
        <f aca="false">SUM(N21,R21)</f>
        <v>69720.45</v>
      </c>
      <c r="Y21" s="45"/>
      <c r="Z21" s="40" t="n">
        <v>1033</v>
      </c>
      <c r="AA21" s="40" t="s">
        <v>1166</v>
      </c>
    </row>
    <row r="22" customFormat="false" ht="22.35" hidden="false" customHeight="false" outlineLevel="0" collapsed="false">
      <c r="A22" s="100" t="s">
        <v>1166</v>
      </c>
      <c r="B22" s="100" t="s"/>
      <c r="C22" s="49" t="s">
        <v>38</v>
      </c>
      <c r="D22" s="50" t="s">
        <v>38</v>
      </c>
      <c r="E22" s="51"/>
      <c r="F22" s="52"/>
      <c r="G22" s="108" t="s">
        <v>1167</v>
      </c>
      <c r="H22" s="32" t="s">
        <v>1168</v>
      </c>
      <c r="I22" s="54" t="n">
        <v>6</v>
      </c>
      <c r="J22" s="56" t="n">
        <v>2200</v>
      </c>
      <c r="K22" s="55"/>
      <c r="L22" s="57"/>
      <c r="M22" s="35" t="n">
        <f aca="false">SUM(C22,I22)</f>
        <v>6</v>
      </c>
      <c r="N22" s="36" t="n">
        <f aca="false">SUM(D22,J22)</f>
        <v>2200</v>
      </c>
      <c r="O22" s="88" t="s">
        <v>1169</v>
      </c>
      <c r="P22" s="89" t="s">
        <v>1170</v>
      </c>
      <c r="Q22" s="60" t="n">
        <v>33</v>
      </c>
      <c r="R22" s="61" t="n">
        <v>133250.9</v>
      </c>
      <c r="S22" s="62"/>
      <c r="T22" s="63"/>
      <c r="U22" s="105"/>
      <c r="V22" s="106"/>
      <c r="W22" s="35" t="n">
        <f aca="false">SUM(M22,Q22)</f>
        <v>39</v>
      </c>
      <c r="X22" s="44" t="n">
        <f aca="false">SUM(N22,R22)</f>
        <v>135450.9</v>
      </c>
      <c r="Y22" s="45"/>
      <c r="Z22" s="40" t="n">
        <v>1040</v>
      </c>
      <c r="AA22" s="40" t="s">
        <v>1171</v>
      </c>
    </row>
    <row r="23" customFormat="false" ht="22.35" hidden="false" customHeight="false" outlineLevel="0" collapsed="false">
      <c r="A23" s="100" t="s">
        <v>1171</v>
      </c>
      <c r="B23" s="100" t="s"/>
      <c r="C23" s="49" t="n">
        <v>1</v>
      </c>
      <c r="D23" s="50" t="n">
        <v>200</v>
      </c>
      <c r="E23" s="51"/>
      <c r="F23" s="52"/>
      <c r="G23" s="108" t="s">
        <v>1172</v>
      </c>
      <c r="H23" s="32" t="s">
        <v>1173</v>
      </c>
      <c r="I23" s="54" t="n">
        <v>7</v>
      </c>
      <c r="J23" s="56" t="n">
        <v>3550</v>
      </c>
      <c r="K23" s="55"/>
      <c r="L23" s="57"/>
      <c r="M23" s="35" t="n">
        <f aca="false">SUM(C23,I23)</f>
        <v>8</v>
      </c>
      <c r="N23" s="36" t="n">
        <f aca="false">SUM(D23,J23)</f>
        <v>3750</v>
      </c>
      <c r="O23" s="88" t="s">
        <v>1174</v>
      </c>
      <c r="P23" s="89" t="s">
        <v>1175</v>
      </c>
      <c r="Q23" s="60" t="n">
        <v>42</v>
      </c>
      <c r="R23" s="61" t="n">
        <v>75723.81</v>
      </c>
      <c r="S23" s="62"/>
      <c r="T23" s="63"/>
      <c r="U23" s="105"/>
      <c r="V23" s="106"/>
      <c r="W23" s="35" t="n">
        <f aca="false">SUM(M23,Q23)</f>
        <v>50</v>
      </c>
      <c r="X23" s="44" t="n">
        <f aca="false">SUM(N23,R23)</f>
        <v>79473.81</v>
      </c>
      <c r="Y23" s="45"/>
      <c r="Z23" s="40" t="n">
        <v>1048</v>
      </c>
      <c r="AA23" s="40" t="s">
        <v>1176</v>
      </c>
    </row>
    <row r="24" customFormat="false" ht="22.35" hidden="false" customHeight="false" outlineLevel="0" collapsed="false">
      <c r="A24" s="100" t="s">
        <v>1176</v>
      </c>
      <c r="B24" s="100" t="s"/>
      <c r="C24" s="49" t="s">
        <v>38</v>
      </c>
      <c r="D24" s="50" t="s">
        <v>38</v>
      </c>
      <c r="E24" s="51"/>
      <c r="F24" s="52"/>
      <c r="G24" s="103" t="s">
        <v>1177</v>
      </c>
      <c r="H24" s="104" t="s">
        <v>1178</v>
      </c>
      <c r="I24" s="54" t="n">
        <v>9</v>
      </c>
      <c r="J24" s="56" t="n">
        <v>3700</v>
      </c>
      <c r="K24" s="55"/>
      <c r="L24" s="57"/>
      <c r="M24" s="35" t="n">
        <f aca="false">SUM(C24,I24)</f>
        <v>9</v>
      </c>
      <c r="N24" s="36" t="n">
        <f aca="false">SUM(D24,J24)</f>
        <v>3700</v>
      </c>
      <c r="O24" s="88" t="s">
        <v>1179</v>
      </c>
      <c r="P24" s="89" t="s">
        <v>1180</v>
      </c>
      <c r="Q24" s="60" t="n">
        <v>42</v>
      </c>
      <c r="R24" s="61" t="n">
        <v>79116.69</v>
      </c>
      <c r="S24" s="62"/>
      <c r="T24" s="63"/>
      <c r="U24" s="105"/>
      <c r="V24" s="106"/>
      <c r="W24" s="35" t="n">
        <f aca="false">SUM(M24,Q24)</f>
        <v>51</v>
      </c>
      <c r="X24" s="44" t="n">
        <f aca="false">SUM(N24,R24)</f>
        <v>82816.69</v>
      </c>
      <c r="Y24" s="45"/>
      <c r="Z24" s="40" t="n">
        <v>1055</v>
      </c>
      <c r="AA24" s="40" t="s">
        <v>1181</v>
      </c>
    </row>
    <row r="25" customFormat="false" ht="22.35" hidden="false" customHeight="false" outlineLevel="0" collapsed="false">
      <c r="A25" s="100" t="s">
        <v>1182</v>
      </c>
      <c r="B25" s="100" t="s"/>
      <c r="C25" s="49" t="s">
        <v>38</v>
      </c>
      <c r="D25" s="50" t="s">
        <v>38</v>
      </c>
      <c r="E25" s="51"/>
      <c r="F25" s="52"/>
      <c r="G25" s="103" t="s">
        <v>1183</v>
      </c>
      <c r="H25" s="104" t="s">
        <v>1184</v>
      </c>
      <c r="I25" s="54" t="n">
        <v>2</v>
      </c>
      <c r="J25" s="56" t="n">
        <v>700</v>
      </c>
      <c r="K25" s="55"/>
      <c r="L25" s="57"/>
      <c r="M25" s="35" t="n">
        <f aca="false">SUM(C25,I25)</f>
        <v>2</v>
      </c>
      <c r="N25" s="36" t="n">
        <f aca="false">SUM(D25,J25)</f>
        <v>700</v>
      </c>
      <c r="O25" s="88" t="s">
        <v>1185</v>
      </c>
      <c r="P25" s="89" t="s">
        <v>1186</v>
      </c>
      <c r="Q25" s="60" t="n">
        <v>30</v>
      </c>
      <c r="R25" s="61" t="n">
        <v>45542.54</v>
      </c>
      <c r="S25" s="62"/>
      <c r="T25" s="63"/>
      <c r="U25" s="105"/>
      <c r="V25" s="106"/>
      <c r="W25" s="35" t="n">
        <f aca="false">SUM(M25,Q25)</f>
        <v>32</v>
      </c>
      <c r="X25" s="44" t="n">
        <f aca="false">SUM(N25,R25)</f>
        <v>46242.54</v>
      </c>
      <c r="Y25" s="45"/>
      <c r="Z25" s="40" t="n">
        <v>1061</v>
      </c>
      <c r="AA25" s="40" t="s">
        <v>1187</v>
      </c>
    </row>
    <row r="26" customFormat="false" ht="22.35" hidden="false" customHeight="false" outlineLevel="0" collapsed="false">
      <c r="A26" s="100" t="s">
        <v>1187</v>
      </c>
      <c r="B26" s="100" t="s"/>
      <c r="C26" s="49" t="n">
        <v>17</v>
      </c>
      <c r="D26" s="50" t="n">
        <v>7900</v>
      </c>
      <c r="E26" s="51"/>
      <c r="F26" s="52"/>
      <c r="G26" s="103" t="s">
        <v>1188</v>
      </c>
      <c r="H26" s="104" t="s">
        <v>1189</v>
      </c>
      <c r="I26" s="54" t="n">
        <v>4</v>
      </c>
      <c r="J26" s="56" t="n">
        <v>800</v>
      </c>
      <c r="K26" s="55"/>
      <c r="L26" s="57"/>
      <c r="M26" s="35" t="n">
        <f aca="false">SUM(C26,I26)</f>
        <v>21</v>
      </c>
      <c r="N26" s="36" t="n">
        <f aca="false">SUM(D26,J26)</f>
        <v>8700</v>
      </c>
      <c r="O26" s="88" t="s">
        <v>1190</v>
      </c>
      <c r="P26" s="89" t="s">
        <v>1191</v>
      </c>
      <c r="Q26" s="60" t="n">
        <v>33</v>
      </c>
      <c r="R26" s="61" t="n">
        <v>84900</v>
      </c>
      <c r="S26" s="62"/>
      <c r="T26" s="63"/>
      <c r="U26" s="105"/>
      <c r="V26" s="106"/>
      <c r="W26" s="35" t="n">
        <f aca="false">SUM(M26,Q26)</f>
        <v>54</v>
      </c>
      <c r="X26" s="44" t="n">
        <f aca="false">SUM(N26,R26)</f>
        <v>93600</v>
      </c>
      <c r="Y26" s="45"/>
      <c r="Z26" s="40" t="n">
        <v>1068</v>
      </c>
      <c r="AA26" s="40" t="s">
        <v>1192</v>
      </c>
    </row>
    <row r="27" customFormat="false" ht="19.7" hidden="false" customHeight="false" outlineLevel="0" collapsed="false">
      <c r="A27" s="66" t="s">
        <v>122</v>
      </c>
      <c r="B27" s="66" t="s"/>
      <c r="C27" s="67" t="n">
        <f aca="false">SUM(C6:C26)</f>
        <v>52</v>
      </c>
      <c r="D27" s="68" t="n">
        <f aca="false">SUM(D6:D26)</f>
        <v>40050</v>
      </c>
      <c r="E27" s="69" t="n">
        <f aca="false">SUM(E6:E21)</f>
        <v>0</v>
      </c>
      <c r="F27" s="70" t="n">
        <f aca="false">SUM(F6:F21)</f>
        <v>0</v>
      </c>
      <c r="G27" s="71" t="s">
        <v>122</v>
      </c>
      <c r="H27" s="71"/>
      <c r="I27" s="72" t="n">
        <f aca="false">SUM(I6:I26)</f>
        <v>85</v>
      </c>
      <c r="J27" s="68" t="n">
        <f aca="false">SUM(J6:J26)</f>
        <v>47200</v>
      </c>
      <c r="K27" s="69" t="n">
        <f aca="false">SUM(K6:K21)</f>
        <v>1</v>
      </c>
      <c r="L27" s="70"/>
      <c r="M27" s="73" t="n">
        <f aca="false">SUM(M6:M26)</f>
        <v>137</v>
      </c>
      <c r="N27" s="74" t="n">
        <f aca="false">SUM(N6:N26)</f>
        <v>87250</v>
      </c>
      <c r="O27" s="71" t="s">
        <v>122</v>
      </c>
      <c r="P27" s="71"/>
      <c r="Q27" s="75" t="n">
        <f aca="false">SUM(Q6:Q26)</f>
        <v>587</v>
      </c>
      <c r="R27" s="76" t="n">
        <f aca="false">SUM(R6:R26)</f>
        <v>1106841.19</v>
      </c>
      <c r="S27" s="69" t="n">
        <f aca="false">SUM(S6:S21)</f>
        <v>0</v>
      </c>
      <c r="T27" s="70" t="n">
        <f aca="false">SUM(T6:T21)</f>
        <v>0</v>
      </c>
      <c r="U27" s="93" t="n">
        <f aca="false">SUM(U6:U21)</f>
        <v>407</v>
      </c>
      <c r="V27" s="94" t="n">
        <f aca="false">SUM(V6:V21)</f>
        <v>688307.25</v>
      </c>
      <c r="W27" s="73" t="n">
        <f aca="false">SUM(W6:W26)</f>
        <v>724</v>
      </c>
      <c r="X27" s="79" t="n">
        <f aca="false">SUM(X6:X26)</f>
        <v>1194091.19</v>
      </c>
      <c r="Y27" s="80"/>
      <c r="Z27" s="81"/>
      <c r="AA27" s="81"/>
    </row>
    <row r="28" customFormat="false" ht="15.75" hidden="false" customHeight="false" outlineLevel="0" collapsed="false">
      <c r="A28" s="2"/>
      <c r="B28" s="2"/>
      <c r="C28" s="2"/>
      <c r="D28" s="82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5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5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5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5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5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3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65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3"/>
      <c r="R48" s="3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C998" s="2"/>
      <c r="D998" s="2"/>
      <c r="E998" s="2"/>
      <c r="F998" s="2"/>
      <c r="G998" s="2"/>
      <c r="H998" s="2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mergeCells count="32">
    <mergeCell ref="A1:AA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A3:AA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G27:H27"/>
    <mergeCell ref="O27:P2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outlinePr summaryBelow="0"/>
    <pageSetUpPr fitToPage="true"/>
  </sheetPr>
  <dimension ref="A1:AA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1193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3" t="s">
        <v>11</v>
      </c>
      <c r="D4" s="14" t="s">
        <v>12</v>
      </c>
      <c r="E4" s="15" t="s">
        <v>13</v>
      </c>
      <c r="F4" s="15"/>
      <c r="G4" s="16" t="s">
        <v>14</v>
      </c>
      <c r="H4" s="17" t="s">
        <v>15</v>
      </c>
      <c r="I4" s="18" t="s">
        <v>11</v>
      </c>
      <c r="J4" s="18" t="s">
        <v>12</v>
      </c>
      <c r="K4" s="19" t="s">
        <v>16</v>
      </c>
      <c r="L4" s="19"/>
      <c r="M4" s="20" t="s">
        <v>17</v>
      </c>
      <c r="N4" s="21" t="s">
        <v>18</v>
      </c>
      <c r="O4" s="22" t="s">
        <v>14</v>
      </c>
      <c r="P4" s="23" t="s">
        <v>15</v>
      </c>
      <c r="Q4" s="23" t="s">
        <v>11</v>
      </c>
      <c r="R4" s="23" t="s">
        <v>12</v>
      </c>
      <c r="S4" s="24" t="s">
        <v>13</v>
      </c>
      <c r="T4" s="24"/>
      <c r="U4" s="9" t="s">
        <v>17</v>
      </c>
      <c r="V4" s="25" t="s">
        <v>18</v>
      </c>
      <c r="W4" s="20" t="s">
        <v>17</v>
      </c>
      <c r="X4" s="21" t="s">
        <v>18</v>
      </c>
      <c r="Y4" s="10"/>
      <c r="Z4" s="11"/>
      <c r="AA4" s="11"/>
    </row>
    <row r="5" customFormat="false" ht="19.7" hidden="false" customHeight="false" outlineLevel="0" collapsed="false">
      <c r="A5" s="4"/>
      <c r="B5" s="4"/>
      <c r="C5" s="13"/>
      <c r="D5" s="14"/>
      <c r="E5" s="14" t="s">
        <v>19</v>
      </c>
      <c r="F5" s="15" t="s">
        <v>20</v>
      </c>
      <c r="G5" s="16"/>
      <c r="H5" s="17"/>
      <c r="I5" s="17"/>
      <c r="J5" s="17"/>
      <c r="K5" s="17" t="s">
        <v>19</v>
      </c>
      <c r="L5" s="19" t="s">
        <v>20</v>
      </c>
      <c r="M5" s="20"/>
      <c r="N5" s="21"/>
      <c r="O5" s="22"/>
      <c r="P5" s="23"/>
      <c r="Q5" s="23"/>
      <c r="R5" s="23"/>
      <c r="S5" s="23" t="s">
        <v>11</v>
      </c>
      <c r="T5" s="24" t="s">
        <v>20</v>
      </c>
      <c r="U5" s="9"/>
      <c r="V5" s="25"/>
      <c r="W5" s="20"/>
      <c r="X5" s="21"/>
      <c r="Y5" s="10"/>
      <c r="Z5" s="11"/>
      <c r="AA5" s="11"/>
    </row>
    <row r="6" customFormat="false" ht="22.35" hidden="false" customHeight="false" outlineLevel="0" collapsed="false">
      <c r="A6" s="100" t="s">
        <v>1192</v>
      </c>
      <c r="B6" s="100" t="s"/>
      <c r="C6" s="27" t="n">
        <v>4</v>
      </c>
      <c r="D6" s="28" t="n">
        <v>4300</v>
      </c>
      <c r="E6" s="29"/>
      <c r="F6" s="30"/>
      <c r="G6" s="83" t="s">
        <v>1194</v>
      </c>
      <c r="H6" s="98" t="s">
        <v>1195</v>
      </c>
      <c r="I6" s="84" t="n">
        <v>2</v>
      </c>
      <c r="J6" s="33" t="n">
        <v>2000</v>
      </c>
      <c r="K6" s="46"/>
      <c r="L6" s="34"/>
      <c r="M6" s="35" t="n">
        <f aca="false">SUM(C6,I6)</f>
        <v>6</v>
      </c>
      <c r="N6" s="36" t="n">
        <f aca="false">SUM(D6,J6)</f>
        <v>6300</v>
      </c>
      <c r="O6" s="38" t="s">
        <v>1196</v>
      </c>
      <c r="P6" s="38" t="s">
        <v>1197</v>
      </c>
      <c r="Q6" s="38" t="n">
        <v>27</v>
      </c>
      <c r="R6" s="39" t="n">
        <v>53365.7</v>
      </c>
      <c r="S6" s="40"/>
      <c r="T6" s="41"/>
      <c r="U6" s="42" t="n">
        <f aca="false">SUM(Q6)</f>
        <v>27</v>
      </c>
      <c r="V6" s="90" t="n">
        <f aca="false">SUM(R6)</f>
        <v>53365.7</v>
      </c>
      <c r="W6" s="35" t="n">
        <f aca="false">SUM(M6,Q6)</f>
        <v>33</v>
      </c>
      <c r="X6" s="44" t="n">
        <f aca="false">SUM(N6,R6)</f>
        <v>59665.7</v>
      </c>
      <c r="Y6" s="45"/>
      <c r="Z6" s="40" t="n">
        <v>1077</v>
      </c>
      <c r="AA6" s="40" t="s">
        <v>1198</v>
      </c>
    </row>
    <row r="7" customFormat="false" ht="22.35" hidden="false" customHeight="false" outlineLevel="0" collapsed="false">
      <c r="A7" s="100" t="s">
        <v>1198</v>
      </c>
      <c r="B7" s="100" t="s"/>
      <c r="C7" s="27" t="n">
        <v>3</v>
      </c>
      <c r="D7" s="28" t="n">
        <v>1500</v>
      </c>
      <c r="E7" s="29"/>
      <c r="F7" s="30"/>
      <c r="G7" s="83" t="s">
        <v>1199</v>
      </c>
      <c r="H7" s="32" t="s">
        <v>1200</v>
      </c>
      <c r="I7" s="84" t="n">
        <v>3</v>
      </c>
      <c r="J7" s="33" t="n">
        <v>900</v>
      </c>
      <c r="K7" s="46"/>
      <c r="L7" s="34"/>
      <c r="M7" s="35" t="n">
        <f aca="false">SUM(C7,I7)</f>
        <v>6</v>
      </c>
      <c r="N7" s="36" t="n">
        <f aca="false">SUM(D7,J7)</f>
        <v>2400</v>
      </c>
      <c r="O7" s="38" t="s">
        <v>1201</v>
      </c>
      <c r="P7" s="38" t="s">
        <v>1202</v>
      </c>
      <c r="Q7" s="38" t="n">
        <v>20</v>
      </c>
      <c r="R7" s="39" t="n">
        <v>36432</v>
      </c>
      <c r="S7" s="40"/>
      <c r="T7" s="41"/>
      <c r="U7" s="42" t="n">
        <f aca="false">SUM(Q7)</f>
        <v>20</v>
      </c>
      <c r="V7" s="90" t="n">
        <f aca="false">SUM(R7)</f>
        <v>36432</v>
      </c>
      <c r="W7" s="35" t="n">
        <f aca="false">SUM(M7,Q7)</f>
        <v>26</v>
      </c>
      <c r="X7" s="44" t="n">
        <f aca="false">SUM(N7,R7)</f>
        <v>38832</v>
      </c>
      <c r="Y7" s="45"/>
      <c r="Z7" s="40" t="n">
        <v>1086</v>
      </c>
      <c r="AA7" s="40" t="s">
        <v>1203</v>
      </c>
    </row>
    <row r="8" customFormat="false" ht="22.35" hidden="false" customHeight="false" outlineLevel="0" collapsed="false">
      <c r="A8" s="100" t="s">
        <v>1203</v>
      </c>
      <c r="B8" s="100" t="s"/>
      <c r="C8" s="27" t="n">
        <v>2</v>
      </c>
      <c r="D8" s="28" t="n">
        <v>400</v>
      </c>
      <c r="E8" s="29"/>
      <c r="F8" s="30"/>
      <c r="G8" s="83" t="s">
        <v>1204</v>
      </c>
      <c r="H8" s="32" t="s">
        <v>1205</v>
      </c>
      <c r="I8" s="84" t="n">
        <v>6</v>
      </c>
      <c r="J8" s="33" t="n">
        <v>3960</v>
      </c>
      <c r="K8" s="46"/>
      <c r="L8" s="34"/>
      <c r="M8" s="35" t="n">
        <f aca="false">SUM(C8,I8)</f>
        <v>8</v>
      </c>
      <c r="N8" s="36" t="n">
        <f aca="false">SUM(D8,J8)</f>
        <v>4360</v>
      </c>
      <c r="O8" s="38" t="s">
        <v>1206</v>
      </c>
      <c r="P8" s="38" t="s">
        <v>1207</v>
      </c>
      <c r="Q8" s="38" t="n">
        <v>13</v>
      </c>
      <c r="R8" s="39" t="n">
        <v>26468.7</v>
      </c>
      <c r="S8" s="40"/>
      <c r="T8" s="41"/>
      <c r="U8" s="42" t="n">
        <f aca="false">SUM(Q8)</f>
        <v>13</v>
      </c>
      <c r="V8" s="90" t="n">
        <f aca="false">SUM(R8)</f>
        <v>26468.7</v>
      </c>
      <c r="W8" s="35" t="n">
        <f aca="false">SUM(M8,Q8)</f>
        <v>21</v>
      </c>
      <c r="X8" s="44" t="n">
        <f aca="false">SUM(N8,R8)</f>
        <v>30828.7</v>
      </c>
      <c r="Y8" s="96"/>
      <c r="Z8" s="40" t="n">
        <v>1092</v>
      </c>
      <c r="AA8" s="40" t="s">
        <v>1208</v>
      </c>
    </row>
    <row r="9" customFormat="false" ht="22.35" hidden="false" customHeight="false" outlineLevel="0" collapsed="false">
      <c r="A9" s="100" t="s">
        <v>1209</v>
      </c>
      <c r="B9" s="100" t="s"/>
      <c r="C9" s="27" t="s">
        <v>38</v>
      </c>
      <c r="D9" s="28" t="s">
        <v>38</v>
      </c>
      <c r="E9" s="29"/>
      <c r="F9" s="30"/>
      <c r="G9" s="83" t="s">
        <v>1210</v>
      </c>
      <c r="H9" s="32" t="s">
        <v>1211</v>
      </c>
      <c r="I9" s="84" t="n">
        <v>2</v>
      </c>
      <c r="J9" s="33" t="n">
        <v>400</v>
      </c>
      <c r="K9" s="46"/>
      <c r="L9" s="34"/>
      <c r="M9" s="35" t="n">
        <f aca="false">SUM(C9,I9)</f>
        <v>2</v>
      </c>
      <c r="N9" s="36" t="n">
        <f aca="false">SUM(D9,J9)</f>
        <v>400</v>
      </c>
      <c r="O9" s="38" t="s">
        <v>1212</v>
      </c>
      <c r="P9" s="38" t="s">
        <v>1213</v>
      </c>
      <c r="Q9" s="38" t="n">
        <v>25</v>
      </c>
      <c r="R9" s="39" t="n">
        <v>40341.8</v>
      </c>
      <c r="S9" s="40"/>
      <c r="T9" s="41"/>
      <c r="U9" s="42" t="n">
        <f aca="false">SUM(Q9)</f>
        <v>25</v>
      </c>
      <c r="V9" s="90" t="n">
        <f aca="false">SUM(R9)</f>
        <v>40341.8</v>
      </c>
      <c r="W9" s="35" t="n">
        <f aca="false">SUM(M9,Q9)</f>
        <v>27</v>
      </c>
      <c r="X9" s="44" t="n">
        <f aca="false">SUM(N9,R9)</f>
        <v>40741.8</v>
      </c>
      <c r="Y9" s="45"/>
      <c r="Z9" s="40" t="n">
        <v>1102</v>
      </c>
      <c r="AA9" s="40" t="s">
        <v>1214</v>
      </c>
    </row>
    <row r="10" customFormat="false" ht="22.35" hidden="false" customHeight="false" outlineLevel="0" collapsed="false">
      <c r="A10" s="100" t="s">
        <v>1214</v>
      </c>
      <c r="B10" s="100" t="s"/>
      <c r="C10" s="27" t="n">
        <v>1</v>
      </c>
      <c r="D10" s="28" t="n">
        <v>200</v>
      </c>
      <c r="E10" s="29"/>
      <c r="F10" s="30"/>
      <c r="G10" s="83" t="s">
        <v>1215</v>
      </c>
      <c r="H10" s="46" t="s">
        <v>38</v>
      </c>
      <c r="I10" s="84" t="n">
        <v>1</v>
      </c>
      <c r="J10" s="33" t="n">
        <v>200</v>
      </c>
      <c r="K10" s="46"/>
      <c r="L10" s="34"/>
      <c r="M10" s="35" t="n">
        <f aca="false">SUM(C10,I10)</f>
        <v>2</v>
      </c>
      <c r="N10" s="36" t="n">
        <f aca="false">SUM(D10,J10)</f>
        <v>400</v>
      </c>
      <c r="O10" s="38" t="s">
        <v>1216</v>
      </c>
      <c r="P10" s="38" t="s">
        <v>1217</v>
      </c>
      <c r="Q10" s="38" t="n">
        <v>17</v>
      </c>
      <c r="R10" s="39" t="n">
        <v>30829.4</v>
      </c>
      <c r="S10" s="40"/>
      <c r="T10" s="41"/>
      <c r="U10" s="42" t="n">
        <f aca="false">SUM(Q10)</f>
        <v>17</v>
      </c>
      <c r="V10" s="90" t="n">
        <f aca="false">SUM(R10)</f>
        <v>30829.4</v>
      </c>
      <c r="W10" s="35" t="n">
        <f aca="false">SUM(M10,Q10)</f>
        <v>19</v>
      </c>
      <c r="X10" s="44" t="n">
        <f aca="false">SUM(N10,R10)</f>
        <v>31229.4</v>
      </c>
      <c r="Y10" s="45"/>
      <c r="Z10" s="40" t="n">
        <v>1110</v>
      </c>
      <c r="AA10" s="40" t="s">
        <v>1218</v>
      </c>
    </row>
    <row r="11" customFormat="false" ht="22.35" hidden="false" customHeight="false" outlineLevel="0" collapsed="false">
      <c r="A11" s="100" t="s">
        <v>1218</v>
      </c>
      <c r="B11" s="100" t="s"/>
      <c r="C11" s="27" t="n">
        <v>1</v>
      </c>
      <c r="D11" s="28" t="n">
        <v>200</v>
      </c>
      <c r="E11" s="29"/>
      <c r="F11" s="30"/>
      <c r="G11" s="83" t="s">
        <v>1219</v>
      </c>
      <c r="H11" s="32" t="s">
        <v>1220</v>
      </c>
      <c r="I11" s="84" t="n">
        <v>5</v>
      </c>
      <c r="J11" s="33" t="n">
        <v>2100</v>
      </c>
      <c r="K11" s="46"/>
      <c r="L11" s="34"/>
      <c r="M11" s="35" t="n">
        <f aca="false">SUM(C11,I11)</f>
        <v>6</v>
      </c>
      <c r="N11" s="36" t="n">
        <f aca="false">SUM(D11,J11)</f>
        <v>2300</v>
      </c>
      <c r="O11" s="38" t="s">
        <v>1221</v>
      </c>
      <c r="P11" s="38" t="s">
        <v>1222</v>
      </c>
      <c r="Q11" s="38" t="n">
        <v>20</v>
      </c>
      <c r="R11" s="39" t="n">
        <v>74975.6</v>
      </c>
      <c r="S11" s="40"/>
      <c r="T11" s="41"/>
      <c r="U11" s="42" t="n">
        <f aca="false">SUM(Q11)</f>
        <v>20</v>
      </c>
      <c r="V11" s="90" t="n">
        <f aca="false">SUM(R11)</f>
        <v>74975.6</v>
      </c>
      <c r="W11" s="35" t="n">
        <f aca="false">SUM(M11,Q11)</f>
        <v>26</v>
      </c>
      <c r="X11" s="44" t="n">
        <f aca="false">SUM(N11,R11)</f>
        <v>77275.6</v>
      </c>
      <c r="Y11" s="45"/>
      <c r="Z11" s="40" t="n">
        <v>1115</v>
      </c>
      <c r="AA11" s="40" t="s">
        <v>1223</v>
      </c>
    </row>
    <row r="12" customFormat="false" ht="22.35" hidden="false" customHeight="false" outlineLevel="0" collapsed="false">
      <c r="A12" s="100" t="s">
        <v>1223</v>
      </c>
      <c r="B12" s="100" t="s"/>
      <c r="C12" s="27" t="s">
        <v>38</v>
      </c>
      <c r="D12" s="28" t="s">
        <v>38</v>
      </c>
      <c r="E12" s="29"/>
      <c r="F12" s="30"/>
      <c r="G12" s="83" t="s">
        <v>1224</v>
      </c>
      <c r="H12" s="32" t="s">
        <v>1225</v>
      </c>
      <c r="I12" s="84" t="n">
        <v>2</v>
      </c>
      <c r="J12" s="33" t="n">
        <v>900</v>
      </c>
      <c r="K12" s="46"/>
      <c r="L12" s="34"/>
      <c r="M12" s="35" t="n">
        <f aca="false">SUM(C12,I12)</f>
        <v>2</v>
      </c>
      <c r="N12" s="36" t="n">
        <f aca="false">SUM(D12,J12)</f>
        <v>900</v>
      </c>
      <c r="O12" s="38" t="s">
        <v>1226</v>
      </c>
      <c r="P12" s="38" t="s">
        <v>1227</v>
      </c>
      <c r="Q12" s="38" t="n">
        <v>17</v>
      </c>
      <c r="R12" s="39" t="n">
        <v>70984</v>
      </c>
      <c r="S12" s="40"/>
      <c r="T12" s="41"/>
      <c r="U12" s="42" t="n">
        <f aca="false">SUM(Q12)</f>
        <v>17</v>
      </c>
      <c r="V12" s="90" t="n">
        <f aca="false">SUM(R12)</f>
        <v>70984</v>
      </c>
      <c r="W12" s="35" t="n">
        <f aca="false">SUM(M12,Q12)</f>
        <v>19</v>
      </c>
      <c r="X12" s="44" t="n">
        <f aca="false">SUM(N12,R12)</f>
        <v>71884</v>
      </c>
      <c r="Y12" s="45"/>
      <c r="Z12" s="40" t="n">
        <v>1120</v>
      </c>
      <c r="AA12" s="40" t="s">
        <v>1228</v>
      </c>
    </row>
    <row r="13" customFormat="false" ht="22.35" hidden="false" customHeight="false" outlineLevel="0" collapsed="false">
      <c r="A13" s="100" t="s">
        <v>1228</v>
      </c>
      <c r="B13" s="100" t="s"/>
      <c r="C13" s="27" t="n">
        <v>3</v>
      </c>
      <c r="D13" s="28" t="n">
        <v>600</v>
      </c>
      <c r="E13" s="29"/>
      <c r="F13" s="30"/>
      <c r="G13" s="83" t="s">
        <v>1229</v>
      </c>
      <c r="H13" s="46" t="s">
        <v>38</v>
      </c>
      <c r="I13" s="84" t="n">
        <v>1</v>
      </c>
      <c r="J13" s="33" t="n">
        <v>500</v>
      </c>
      <c r="K13" s="46"/>
      <c r="L13" s="34"/>
      <c r="M13" s="35" t="n">
        <f aca="false">SUM(C13,I13)</f>
        <v>4</v>
      </c>
      <c r="N13" s="36" t="n">
        <f aca="false">SUM(D13,J13)</f>
        <v>1100</v>
      </c>
      <c r="O13" s="38" t="s">
        <v>1230</v>
      </c>
      <c r="P13" s="38" t="s">
        <v>1231</v>
      </c>
      <c r="Q13" s="38" t="n">
        <v>11</v>
      </c>
      <c r="R13" s="39" t="n">
        <v>22924</v>
      </c>
      <c r="S13" s="40"/>
      <c r="T13" s="41"/>
      <c r="U13" s="42" t="n">
        <f aca="false">SUM(Q13)</f>
        <v>11</v>
      </c>
      <c r="V13" s="90" t="n">
        <f aca="false">SUM(R13)</f>
        <v>22924</v>
      </c>
      <c r="W13" s="35" t="n">
        <f aca="false">SUM(M13,Q13)</f>
        <v>15</v>
      </c>
      <c r="X13" s="44" t="n">
        <f aca="false">SUM(N13,R13)</f>
        <v>24024</v>
      </c>
      <c r="Y13" s="45"/>
      <c r="Z13" s="40" t="n">
        <v>1125</v>
      </c>
      <c r="AA13" s="40" t="s">
        <v>1232</v>
      </c>
    </row>
    <row r="14" customFormat="false" ht="22.35" hidden="false" customHeight="false" outlineLevel="0" collapsed="false">
      <c r="A14" s="100" t="s">
        <v>1233</v>
      </c>
      <c r="B14" s="100" t="s"/>
      <c r="C14" s="27" t="n">
        <v>2</v>
      </c>
      <c r="D14" s="28" t="n">
        <v>400</v>
      </c>
      <c r="E14" s="29"/>
      <c r="F14" s="30"/>
      <c r="G14" s="83" t="s">
        <v>1234</v>
      </c>
      <c r="H14" s="46" t="s">
        <v>38</v>
      </c>
      <c r="I14" s="84" t="n">
        <v>1</v>
      </c>
      <c r="J14" s="33" t="n">
        <v>200</v>
      </c>
      <c r="K14" s="46"/>
      <c r="L14" s="34"/>
      <c r="M14" s="35" t="n">
        <f aca="false">SUM(C14,I14)</f>
        <v>3</v>
      </c>
      <c r="N14" s="36" t="n">
        <f aca="false">SUM(D14,J14)</f>
        <v>600</v>
      </c>
      <c r="O14" s="38" t="s">
        <v>1235</v>
      </c>
      <c r="P14" s="38" t="s">
        <v>1236</v>
      </c>
      <c r="Q14" s="38" t="n">
        <v>16</v>
      </c>
      <c r="R14" s="39" t="n">
        <v>27071.6</v>
      </c>
      <c r="S14" s="40"/>
      <c r="T14" s="41"/>
      <c r="U14" s="42" t="n">
        <f aca="false">SUM(Q14)</f>
        <v>16</v>
      </c>
      <c r="V14" s="90" t="n">
        <f aca="false">SUM(R14)</f>
        <v>27071.6</v>
      </c>
      <c r="W14" s="35" t="n">
        <f aca="false">SUM(M14,Q14)</f>
        <v>19</v>
      </c>
      <c r="X14" s="44" t="n">
        <f aca="false">SUM(N14,R14)</f>
        <v>27671.6</v>
      </c>
      <c r="Y14" s="45"/>
      <c r="Z14" s="40" t="n">
        <v>1135</v>
      </c>
      <c r="AA14" s="40" t="s">
        <v>1237</v>
      </c>
    </row>
    <row r="15" customFormat="false" ht="22.35" hidden="false" customHeight="false" outlineLevel="0" collapsed="false">
      <c r="A15" s="100" t="s">
        <v>1238</v>
      </c>
      <c r="B15" s="100" t="s"/>
      <c r="C15" s="27" t="n">
        <v>3</v>
      </c>
      <c r="D15" s="28" t="n">
        <v>1400</v>
      </c>
      <c r="E15" s="29"/>
      <c r="F15" s="30"/>
      <c r="G15" s="83" t="s">
        <v>1239</v>
      </c>
      <c r="H15" s="32" t="s">
        <v>1240</v>
      </c>
      <c r="I15" s="84" t="n">
        <v>6</v>
      </c>
      <c r="J15" s="33" t="n">
        <v>2700</v>
      </c>
      <c r="K15" s="46"/>
      <c r="L15" s="34"/>
      <c r="M15" s="35" t="n">
        <f aca="false">SUM(C15,I15)</f>
        <v>9</v>
      </c>
      <c r="N15" s="36" t="n">
        <f aca="false">SUM(D15,J15)</f>
        <v>4100</v>
      </c>
      <c r="O15" s="38" t="s">
        <v>1241</v>
      </c>
      <c r="P15" s="38" t="s">
        <v>1242</v>
      </c>
      <c r="Q15" s="38" t="n">
        <v>10</v>
      </c>
      <c r="R15" s="39" t="n">
        <v>18745.8</v>
      </c>
      <c r="S15" s="40"/>
      <c r="T15" s="41"/>
      <c r="U15" s="42" t="n">
        <f aca="false">SUM(Q15)</f>
        <v>10</v>
      </c>
      <c r="V15" s="90" t="n">
        <f aca="false">SUM(R15)</f>
        <v>18745.8</v>
      </c>
      <c r="W15" s="35" t="n">
        <f aca="false">SUM(M15,Q15)</f>
        <v>19</v>
      </c>
      <c r="X15" s="44" t="n">
        <f aca="false">SUM(N15,R15)</f>
        <v>22845.8</v>
      </c>
      <c r="Y15" s="45"/>
      <c r="Z15" s="40" t="n">
        <v>1142</v>
      </c>
      <c r="AA15" s="40" t="s">
        <v>1243</v>
      </c>
    </row>
    <row r="16" customFormat="false" ht="22.35" hidden="false" customHeight="false" outlineLevel="0" collapsed="false">
      <c r="A16" s="100" t="s">
        <v>1244</v>
      </c>
      <c r="B16" s="100" t="s"/>
      <c r="C16" s="27"/>
      <c r="D16" s="28"/>
      <c r="E16" s="29"/>
      <c r="F16" s="30"/>
      <c r="G16" s="46"/>
      <c r="H16" s="46"/>
      <c r="I16" s="84"/>
      <c r="J16" s="33"/>
      <c r="K16" s="46"/>
      <c r="L16" s="34"/>
      <c r="M16" s="35" t="n">
        <f aca="false">SUM(C16,I16)</f>
        <v>0</v>
      </c>
      <c r="N16" s="36" t="n">
        <f aca="false">SUM(D16,J16)</f>
        <v>0</v>
      </c>
      <c r="O16" s="38"/>
      <c r="P16" s="38"/>
      <c r="Q16" s="38"/>
      <c r="R16" s="39"/>
      <c r="S16" s="40"/>
      <c r="T16" s="41"/>
      <c r="U16" s="42" t="n">
        <f aca="false">SUM(Q16)</f>
        <v>0</v>
      </c>
      <c r="V16" s="90" t="n">
        <f aca="false">SUM(R16)</f>
        <v>0</v>
      </c>
      <c r="W16" s="35" t="n">
        <f aca="false">SUM(M16,Q16)</f>
        <v>0</v>
      </c>
      <c r="X16" s="44" t="n">
        <f aca="false">SUM(N16,R16)</f>
        <v>0</v>
      </c>
      <c r="Y16" s="47"/>
      <c r="Z16" s="40"/>
      <c r="AA16" s="40"/>
    </row>
    <row r="17" customFormat="false" ht="22.35" hidden="false" customHeight="false" outlineLevel="0" collapsed="false">
      <c r="A17" s="100" t="s">
        <v>1245</v>
      </c>
      <c r="B17" s="100" t="s"/>
      <c r="C17" s="27"/>
      <c r="D17" s="28"/>
      <c r="E17" s="29"/>
      <c r="F17" s="30"/>
      <c r="G17" s="46"/>
      <c r="H17" s="46"/>
      <c r="I17" s="84"/>
      <c r="J17" s="33"/>
      <c r="K17" s="46"/>
      <c r="L17" s="34"/>
      <c r="M17" s="35" t="n">
        <f aca="false">SUM(C17,I17)</f>
        <v>0</v>
      </c>
      <c r="N17" s="36" t="n">
        <f aca="false">SUM(D17,J17)</f>
        <v>0</v>
      </c>
      <c r="O17" s="38"/>
      <c r="P17" s="38"/>
      <c r="Q17" s="38"/>
      <c r="R17" s="39"/>
      <c r="S17" s="40"/>
      <c r="T17" s="41"/>
      <c r="U17" s="42" t="n">
        <f aca="false">SUM(Q17)</f>
        <v>0</v>
      </c>
      <c r="V17" s="90" t="n">
        <f aca="false">SUM(R17)</f>
        <v>0</v>
      </c>
      <c r="W17" s="35" t="n">
        <f aca="false">SUM(M17,Q17)</f>
        <v>0</v>
      </c>
      <c r="X17" s="44" t="n">
        <f aca="false">SUM(N17,R17)</f>
        <v>0</v>
      </c>
      <c r="Y17" s="47"/>
      <c r="Z17" s="40"/>
      <c r="AA17" s="40"/>
    </row>
    <row r="18" customFormat="false" ht="22.35" hidden="false" customHeight="false" outlineLevel="0" collapsed="false">
      <c r="A18" s="100" t="s">
        <v>1246</v>
      </c>
      <c r="B18" s="100" t="s"/>
      <c r="C18" s="27"/>
      <c r="D18" s="28"/>
      <c r="E18" s="29"/>
      <c r="F18" s="30"/>
      <c r="G18" s="85"/>
      <c r="H18" s="46"/>
      <c r="I18" s="84"/>
      <c r="J18" s="33"/>
      <c r="K18" s="46"/>
      <c r="L18" s="34"/>
      <c r="M18" s="35" t="n">
        <f aca="false">SUM(C18,I18)</f>
        <v>0</v>
      </c>
      <c r="N18" s="36" t="n">
        <f aca="false">SUM(D18,J18)</f>
        <v>0</v>
      </c>
      <c r="O18" s="38"/>
      <c r="P18" s="38"/>
      <c r="Q18" s="38"/>
      <c r="R18" s="39"/>
      <c r="S18" s="40"/>
      <c r="T18" s="41"/>
      <c r="U18" s="42" t="n">
        <f aca="false">SUM(Q18)</f>
        <v>0</v>
      </c>
      <c r="V18" s="90" t="n">
        <f aca="false">SUM(R18)</f>
        <v>0</v>
      </c>
      <c r="W18" s="35" t="n">
        <f aca="false">SUM(M18,Q18)</f>
        <v>0</v>
      </c>
      <c r="X18" s="44" t="n">
        <f aca="false">SUM(N18,R18)</f>
        <v>0</v>
      </c>
      <c r="Y18" s="107"/>
      <c r="Z18" s="40"/>
      <c r="AA18" s="40"/>
    </row>
    <row r="19" customFormat="false" ht="22.35" hidden="false" customHeight="false" outlineLevel="0" collapsed="false">
      <c r="A19" s="100" t="s">
        <v>1247</v>
      </c>
      <c r="B19" s="100" t="s"/>
      <c r="C19" s="27"/>
      <c r="D19" s="28"/>
      <c r="E19" s="29"/>
      <c r="F19" s="30"/>
      <c r="G19" s="85"/>
      <c r="H19" s="46"/>
      <c r="I19" s="84"/>
      <c r="J19" s="33"/>
      <c r="K19" s="46"/>
      <c r="L19" s="34"/>
      <c r="M19" s="35" t="n">
        <f aca="false">SUM(C19,I19)</f>
        <v>0</v>
      </c>
      <c r="N19" s="36" t="n">
        <f aca="false">SUM(D19,J19)</f>
        <v>0</v>
      </c>
      <c r="O19" s="38"/>
      <c r="P19" s="38"/>
      <c r="Q19" s="38"/>
      <c r="R19" s="39"/>
      <c r="S19" s="40"/>
      <c r="T19" s="41"/>
      <c r="U19" s="42" t="n">
        <f aca="false">SUM(Q19)</f>
        <v>0</v>
      </c>
      <c r="V19" s="90" t="n">
        <f aca="false">SUM(R19)</f>
        <v>0</v>
      </c>
      <c r="W19" s="35" t="n">
        <f aca="false">SUM(M19,Q19)</f>
        <v>0</v>
      </c>
      <c r="X19" s="44" t="n">
        <f aca="false">SUM(N19,R19)</f>
        <v>0</v>
      </c>
      <c r="Y19" s="45"/>
      <c r="Z19" s="40"/>
      <c r="AA19" s="40"/>
    </row>
    <row r="20" customFormat="false" ht="22.35" hidden="false" customHeight="false" outlineLevel="0" collapsed="false">
      <c r="A20" s="100" t="s">
        <v>1248</v>
      </c>
      <c r="B20" s="100" t="s"/>
      <c r="C20" s="27"/>
      <c r="D20" s="28"/>
      <c r="E20" s="29"/>
      <c r="F20" s="30"/>
      <c r="G20" s="85"/>
      <c r="H20" s="46"/>
      <c r="I20" s="84"/>
      <c r="J20" s="33"/>
      <c r="K20" s="46"/>
      <c r="L20" s="34"/>
      <c r="M20" s="35" t="n">
        <f aca="false">SUM(C20,I20)</f>
        <v>0</v>
      </c>
      <c r="N20" s="36" t="n">
        <f aca="false">SUM(D20,J20)</f>
        <v>0</v>
      </c>
      <c r="O20" s="38"/>
      <c r="P20" s="38"/>
      <c r="Q20" s="38"/>
      <c r="R20" s="39"/>
      <c r="S20" s="40"/>
      <c r="T20" s="41"/>
      <c r="U20" s="42" t="n">
        <f aca="false">SUM(Q20)</f>
        <v>0</v>
      </c>
      <c r="V20" s="90" t="n">
        <f aca="false">SUM(R20)</f>
        <v>0</v>
      </c>
      <c r="W20" s="35" t="n">
        <f aca="false">SUM(M20,Q20)</f>
        <v>0</v>
      </c>
      <c r="X20" s="44" t="n">
        <f aca="false">SUM(N20,R20)</f>
        <v>0</v>
      </c>
      <c r="Y20" s="45"/>
      <c r="Z20" s="40"/>
      <c r="AA20" s="40"/>
    </row>
    <row r="21" customFormat="false" ht="22.35" hidden="false" customHeight="false" outlineLevel="0" collapsed="false">
      <c r="A21" s="100" t="s">
        <v>1249</v>
      </c>
      <c r="B21" s="100" t="s"/>
      <c r="C21" s="27"/>
      <c r="D21" s="28"/>
      <c r="E21" s="29"/>
      <c r="F21" s="30"/>
      <c r="G21" s="85"/>
      <c r="H21" s="46"/>
      <c r="I21" s="84"/>
      <c r="J21" s="33"/>
      <c r="K21" s="46"/>
      <c r="L21" s="34"/>
      <c r="M21" s="35" t="n">
        <f aca="false">SUM(C21,I21)</f>
        <v>0</v>
      </c>
      <c r="N21" s="36" t="n">
        <f aca="false">SUM(D21,J21)</f>
        <v>0</v>
      </c>
      <c r="O21" s="37"/>
      <c r="P21" s="38"/>
      <c r="Q21" s="38"/>
      <c r="R21" s="39"/>
      <c r="S21" s="40"/>
      <c r="T21" s="41"/>
      <c r="U21" s="42" t="n">
        <f aca="false">SUM(Q21)</f>
        <v>0</v>
      </c>
      <c r="V21" s="90" t="n">
        <f aca="false">SUM(R21)</f>
        <v>0</v>
      </c>
      <c r="W21" s="35" t="n">
        <f aca="false">SUM(M21,Q21)</f>
        <v>0</v>
      </c>
      <c r="X21" s="44" t="n">
        <f aca="false">SUM(N21,R21)</f>
        <v>0</v>
      </c>
      <c r="Y21" s="45"/>
      <c r="Z21" s="40"/>
      <c r="AA21" s="40"/>
    </row>
    <row r="22" customFormat="false" ht="22.35" hidden="false" customHeight="false" outlineLevel="0" collapsed="false">
      <c r="A22" s="100" t="s">
        <v>1250</v>
      </c>
      <c r="B22" s="100" t="s"/>
      <c r="C22" s="49"/>
      <c r="D22" s="50"/>
      <c r="E22" s="51"/>
      <c r="F22" s="52"/>
      <c r="G22" s="84"/>
      <c r="H22" s="46"/>
      <c r="I22" s="54"/>
      <c r="J22" s="56"/>
      <c r="K22" s="55"/>
      <c r="L22" s="57"/>
      <c r="M22" s="35" t="n">
        <f aca="false">SUM(C22,I22)</f>
        <v>0</v>
      </c>
      <c r="N22" s="36" t="n">
        <f aca="false">SUM(D22,J22)</f>
        <v>0</v>
      </c>
      <c r="O22" s="58"/>
      <c r="P22" s="59"/>
      <c r="Q22" s="60"/>
      <c r="R22" s="61"/>
      <c r="S22" s="62"/>
      <c r="T22" s="63"/>
      <c r="U22" s="105"/>
      <c r="V22" s="106"/>
      <c r="W22" s="35" t="n">
        <f aca="false">SUM(M22,Q22)</f>
        <v>0</v>
      </c>
      <c r="X22" s="44" t="n">
        <f aca="false">SUM(N22,R22)</f>
        <v>0</v>
      </c>
      <c r="Y22" s="45"/>
      <c r="Z22" s="40"/>
      <c r="AA22" s="40"/>
    </row>
    <row r="23" customFormat="false" ht="22.35" hidden="false" customHeight="false" outlineLevel="0" collapsed="false">
      <c r="A23" s="100" t="s">
        <v>1251</v>
      </c>
      <c r="B23" s="100" t="s"/>
      <c r="C23" s="49"/>
      <c r="D23" s="50"/>
      <c r="E23" s="51"/>
      <c r="F23" s="52"/>
      <c r="G23" s="84"/>
      <c r="H23" s="46"/>
      <c r="I23" s="54"/>
      <c r="J23" s="56"/>
      <c r="K23" s="55"/>
      <c r="L23" s="57"/>
      <c r="M23" s="35" t="n">
        <f aca="false">SUM(C23,I23)</f>
        <v>0</v>
      </c>
      <c r="N23" s="36" t="n">
        <f aca="false">SUM(D23,J23)</f>
        <v>0</v>
      </c>
      <c r="O23" s="58"/>
      <c r="P23" s="59"/>
      <c r="Q23" s="60"/>
      <c r="R23" s="61"/>
      <c r="S23" s="62"/>
      <c r="T23" s="63"/>
      <c r="U23" s="105"/>
      <c r="V23" s="106"/>
      <c r="W23" s="35" t="n">
        <f aca="false">SUM(M23,Q23)</f>
        <v>0</v>
      </c>
      <c r="X23" s="44" t="n">
        <f aca="false">SUM(N23,R23)</f>
        <v>0</v>
      </c>
      <c r="Y23" s="45"/>
      <c r="Z23" s="40"/>
      <c r="AA23" s="40"/>
    </row>
    <row r="24" customFormat="false" ht="22.35" hidden="false" customHeight="false" outlineLevel="0" collapsed="false">
      <c r="A24" s="100" t="s">
        <v>1252</v>
      </c>
      <c r="B24" s="100" t="s"/>
      <c r="C24" s="49"/>
      <c r="D24" s="50"/>
      <c r="E24" s="51"/>
      <c r="F24" s="52"/>
      <c r="G24" s="53"/>
      <c r="H24" s="54"/>
      <c r="I24" s="54"/>
      <c r="J24" s="56"/>
      <c r="K24" s="55"/>
      <c r="L24" s="57"/>
      <c r="M24" s="35" t="n">
        <f aca="false">SUM(C24,I24)</f>
        <v>0</v>
      </c>
      <c r="N24" s="36" t="n">
        <f aca="false">SUM(D24,J24)</f>
        <v>0</v>
      </c>
      <c r="O24" s="58"/>
      <c r="P24" s="59"/>
      <c r="Q24" s="60"/>
      <c r="R24" s="61"/>
      <c r="S24" s="62"/>
      <c r="T24" s="63"/>
      <c r="U24" s="105"/>
      <c r="V24" s="106"/>
      <c r="W24" s="35" t="n">
        <f aca="false">SUM(M24,Q24)</f>
        <v>0</v>
      </c>
      <c r="X24" s="44" t="n">
        <f aca="false">SUM(N24,R24)</f>
        <v>0</v>
      </c>
      <c r="Y24" s="45"/>
      <c r="Z24" s="40"/>
      <c r="AA24" s="40"/>
    </row>
    <row r="25" customFormat="false" ht="22.35" hidden="false" customHeight="false" outlineLevel="0" collapsed="false">
      <c r="A25" s="100" t="s">
        <v>1253</v>
      </c>
      <c r="B25" s="100" t="s"/>
      <c r="C25" s="49"/>
      <c r="D25" s="50"/>
      <c r="E25" s="51"/>
      <c r="F25" s="52"/>
      <c r="G25" s="53"/>
      <c r="H25" s="54"/>
      <c r="I25" s="54"/>
      <c r="J25" s="56"/>
      <c r="K25" s="55"/>
      <c r="L25" s="57"/>
      <c r="M25" s="35" t="n">
        <f aca="false">SUM(C25,I25)</f>
        <v>0</v>
      </c>
      <c r="N25" s="36" t="n">
        <f aca="false">SUM(D25,J25)</f>
        <v>0</v>
      </c>
      <c r="O25" s="58"/>
      <c r="P25" s="59"/>
      <c r="Q25" s="60"/>
      <c r="R25" s="61"/>
      <c r="S25" s="62"/>
      <c r="T25" s="63"/>
      <c r="U25" s="105"/>
      <c r="V25" s="106"/>
      <c r="W25" s="35" t="n">
        <f aca="false">SUM(M25,Q25)</f>
        <v>0</v>
      </c>
      <c r="X25" s="44" t="n">
        <f aca="false">SUM(N25,R25)</f>
        <v>0</v>
      </c>
      <c r="Y25" s="45"/>
      <c r="Z25" s="40"/>
      <c r="AA25" s="40"/>
    </row>
    <row r="26" customFormat="false" ht="22.35" hidden="false" customHeight="false" outlineLevel="0" collapsed="false">
      <c r="A26" s="100" t="s">
        <v>1254</v>
      </c>
      <c r="B26" s="100" t="s"/>
      <c r="C26" s="49"/>
      <c r="D26" s="50"/>
      <c r="E26" s="51"/>
      <c r="F26" s="52"/>
      <c r="G26" s="53"/>
      <c r="H26" s="54"/>
      <c r="I26" s="54"/>
      <c r="J26" s="56"/>
      <c r="K26" s="55"/>
      <c r="L26" s="57"/>
      <c r="M26" s="35" t="n">
        <f aca="false">SUM(C26,I26)</f>
        <v>0</v>
      </c>
      <c r="N26" s="36" t="n">
        <f aca="false">SUM(D26,J26)</f>
        <v>0</v>
      </c>
      <c r="O26" s="58"/>
      <c r="P26" s="59"/>
      <c r="Q26" s="60"/>
      <c r="R26" s="61"/>
      <c r="S26" s="62"/>
      <c r="T26" s="63"/>
      <c r="U26" s="105"/>
      <c r="V26" s="106"/>
      <c r="W26" s="35" t="n">
        <f aca="false">SUM(M26,Q26)</f>
        <v>0</v>
      </c>
      <c r="X26" s="44" t="n">
        <f aca="false">SUM(N26,R26)</f>
        <v>0</v>
      </c>
      <c r="Y26" s="45"/>
      <c r="Z26" s="40"/>
      <c r="AA26" s="40"/>
    </row>
    <row r="27" customFormat="false" ht="22.35" hidden="false" customHeight="false" outlineLevel="0" collapsed="false">
      <c r="A27" s="100" t="s">
        <v>1255</v>
      </c>
      <c r="B27" s="100" t="s"/>
      <c r="C27" s="49"/>
      <c r="D27" s="50"/>
      <c r="E27" s="51"/>
      <c r="F27" s="52"/>
      <c r="G27" s="53"/>
      <c r="H27" s="54"/>
      <c r="I27" s="54"/>
      <c r="J27" s="56"/>
      <c r="K27" s="55"/>
      <c r="L27" s="57"/>
      <c r="M27" s="35" t="n">
        <f aca="false">SUM(C27,I27)</f>
        <v>0</v>
      </c>
      <c r="N27" s="36" t="n">
        <f aca="false">SUM(D27,J27)</f>
        <v>0</v>
      </c>
      <c r="O27" s="58"/>
      <c r="P27" s="59"/>
      <c r="Q27" s="60"/>
      <c r="R27" s="61"/>
      <c r="S27" s="62"/>
      <c r="T27" s="63"/>
      <c r="U27" s="105"/>
      <c r="V27" s="106"/>
      <c r="W27" s="35" t="n">
        <f aca="false">SUM(M27,Q27)</f>
        <v>0</v>
      </c>
      <c r="X27" s="44" t="n">
        <f aca="false">SUM(N27,R27)</f>
        <v>0</v>
      </c>
      <c r="Y27" s="45"/>
      <c r="Z27" s="40"/>
      <c r="AA27" s="40"/>
    </row>
    <row r="28" customFormat="false" ht="19.7" hidden="false" customHeight="false" outlineLevel="0" collapsed="false">
      <c r="A28" s="66" t="s">
        <v>122</v>
      </c>
      <c r="B28" s="66" t="s"/>
      <c r="C28" s="67" t="n">
        <f aca="false">SUM(C6:C27)</f>
        <v>19</v>
      </c>
      <c r="D28" s="68" t="n">
        <f aca="false">SUM(D6:D27)</f>
        <v>9000</v>
      </c>
      <c r="E28" s="69" t="n">
        <f aca="false">SUM(E6:E21)</f>
        <v>0</v>
      </c>
      <c r="F28" s="70" t="n">
        <f aca="false">SUM(F6:F21)</f>
        <v>0</v>
      </c>
      <c r="G28" s="71" t="s">
        <v>122</v>
      </c>
      <c r="H28" s="71"/>
      <c r="I28" s="72" t="n">
        <f aca="false">SUM(I6:I27)</f>
        <v>29</v>
      </c>
      <c r="J28" s="68" t="n">
        <f aca="false">SUM(J6:J27)</f>
        <v>13860</v>
      </c>
      <c r="K28" s="69" t="n">
        <f aca="false">SUM(K6:K21)</f>
        <v>0</v>
      </c>
      <c r="L28" s="70"/>
      <c r="M28" s="73" t="n">
        <f aca="false">SUM(M6:M27)</f>
        <v>48</v>
      </c>
      <c r="N28" s="74" t="n">
        <f aca="false">SUM(N6:N27)</f>
        <v>22860</v>
      </c>
      <c r="O28" s="71" t="s">
        <v>122</v>
      </c>
      <c r="P28" s="71"/>
      <c r="Q28" s="75" t="n">
        <f aca="false">SUM(Q6:Q27)</f>
        <v>176</v>
      </c>
      <c r="R28" s="76" t="n">
        <f aca="false">SUM(R6:R27)</f>
        <v>402138.6</v>
      </c>
      <c r="S28" s="69" t="n">
        <f aca="false">SUM(S6:S21)</f>
        <v>0</v>
      </c>
      <c r="T28" s="70" t="n">
        <f aca="false">SUM(T6:T21)</f>
        <v>0</v>
      </c>
      <c r="U28" s="93" t="n">
        <f aca="false">SUM(U6:U21)</f>
        <v>176</v>
      </c>
      <c r="V28" s="94" t="n">
        <f aca="false">SUM(V6:V21)</f>
        <v>402138.6</v>
      </c>
      <c r="W28" s="73" t="n">
        <f aca="false">SUM(W6:W27)</f>
        <v>224</v>
      </c>
      <c r="X28" s="79" t="n">
        <f aca="false">SUM(X6:X27)</f>
        <v>424998.6</v>
      </c>
      <c r="Y28" s="80"/>
      <c r="Z28" s="81"/>
      <c r="AA28" s="81"/>
    </row>
    <row r="29" customFormat="false" ht="15.75" hidden="false" customHeight="false" outlineLevel="0" collapsed="false">
      <c r="A29" s="2"/>
      <c r="B29" s="2"/>
      <c r="C29" s="2"/>
      <c r="D29" s="82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5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5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5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5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3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65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3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65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3"/>
      <c r="R48" s="3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3"/>
      <c r="R49" s="3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C998" s="2"/>
      <c r="D998" s="2"/>
      <c r="E998" s="2"/>
      <c r="F998" s="2"/>
      <c r="G998" s="2"/>
      <c r="H998" s="2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C999" s="2"/>
      <c r="D999" s="2"/>
      <c r="E999" s="2"/>
      <c r="F999" s="2"/>
      <c r="G999" s="2"/>
      <c r="H999" s="2"/>
      <c r="I999" s="3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32">
    <mergeCell ref="A1:AA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A3:AA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G28:H28"/>
    <mergeCell ref="O28:P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6" min="1" style="0" width="17.88"/>
  </cols>
  <sheetData>
    <row r="1" customFormat="false" ht="35.05" hidden="false" customHeight="false" outlineLevel="0" collapsed="false">
      <c r="A1" s="109" t="s">
        <v>1256</v>
      </c>
      <c r="B1" s="109"/>
      <c r="C1" s="109"/>
      <c r="D1" s="109"/>
      <c r="E1" s="109"/>
      <c r="F1" s="109"/>
      <c r="G1" s="109"/>
      <c r="H1" s="109"/>
      <c r="I1" s="109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customFormat="false" ht="19.7" hidden="false" customHeight="false" outlineLevel="0" collapsed="false">
      <c r="A2" s="110"/>
      <c r="B2" s="111"/>
      <c r="C2" s="111"/>
      <c r="D2" s="111"/>
      <c r="E2" s="111"/>
      <c r="F2" s="111"/>
      <c r="G2" s="111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customFormat="false" ht="22.35" hidden="false" customHeight="false" outlineLevel="0" collapsed="false">
      <c r="A3" s="112" t="s">
        <v>1257</v>
      </c>
      <c r="B3" s="113" t="s">
        <v>2</v>
      </c>
      <c r="C3" s="113"/>
      <c r="D3" s="114" t="s">
        <v>1258</v>
      </c>
      <c r="E3" s="114"/>
      <c r="F3" s="115" t="s">
        <v>5</v>
      </c>
      <c r="G3" s="115"/>
      <c r="H3" s="116" t="s">
        <v>1259</v>
      </c>
      <c r="I3" s="116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customFormat="false" ht="19.7" hidden="false" customHeight="false" outlineLevel="0" collapsed="false">
      <c r="A4" s="112"/>
      <c r="B4" s="113" t="s">
        <v>11</v>
      </c>
      <c r="C4" s="113" t="s">
        <v>12</v>
      </c>
      <c r="D4" s="114" t="s">
        <v>11</v>
      </c>
      <c r="E4" s="114" t="s">
        <v>12</v>
      </c>
      <c r="F4" s="115" t="s">
        <v>11</v>
      </c>
      <c r="G4" s="115" t="s">
        <v>12</v>
      </c>
      <c r="H4" s="117" t="s">
        <v>11</v>
      </c>
      <c r="I4" s="117" t="s">
        <v>12</v>
      </c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customFormat="false" ht="22.35" hidden="false" customHeight="false" outlineLevel="0" collapsed="false">
      <c r="A5" s="119" t="s">
        <v>1260</v>
      </c>
      <c r="B5" s="120" t="n">
        <f aca="false">'ต.ค.68'!B35</f>
        <v>34</v>
      </c>
      <c r="C5" s="121" t="n">
        <f aca="false">'ต.ค.68'!C35</f>
        <v>70400</v>
      </c>
      <c r="D5" s="122" t="n">
        <f aca="false">'ต.ค.68'!H35</f>
        <v>110</v>
      </c>
      <c r="E5" s="121" t="n">
        <f aca="false">'ต.ค.68'!I35</f>
        <v>49090</v>
      </c>
      <c r="F5" s="123" t="n">
        <f aca="false">'ต.ค.68'!P35</f>
        <v>232</v>
      </c>
      <c r="G5" s="121" t="n">
        <f aca="false">'ต.ค.68'!Q35</f>
        <v>548704.13</v>
      </c>
      <c r="H5" s="124" t="n">
        <f aca="false">SUM(B5,D5,F5)</f>
        <v>376</v>
      </c>
      <c r="I5" s="125" t="n">
        <f aca="false">SUM(C5,E5,G5)</f>
        <v>668194.13</v>
      </c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customFormat="false" ht="22.35" hidden="false" customHeight="false" outlineLevel="0" collapsed="false">
      <c r="A6" s="119" t="s">
        <v>1261</v>
      </c>
      <c r="B6" s="120" t="n">
        <f aca="false">'พ.ย.68'!B25</f>
        <v>10095</v>
      </c>
      <c r="C6" s="121" t="n">
        <f aca="false">'พ.ย.68'!C25</f>
        <v>9869151</v>
      </c>
      <c r="D6" s="122" t="n">
        <f aca="false">'พ.ย.68'!H25</f>
        <v>106</v>
      </c>
      <c r="E6" s="121" t="n">
        <f aca="false">'พ.ย.68'!I25</f>
        <v>55250</v>
      </c>
      <c r="F6" s="123" t="n">
        <f aca="false">'พ.ย.68'!P25</f>
        <v>302</v>
      </c>
      <c r="G6" s="121" t="n">
        <f aca="false">'พ.ย.68'!Q25</f>
        <v>656437.7</v>
      </c>
      <c r="H6" s="124" t="n">
        <f aca="false">SUM(B6,D6,F6)</f>
        <v>10503</v>
      </c>
      <c r="I6" s="125" t="n">
        <f aca="false">SUM(C6,E6,G6)</f>
        <v>10580838.7</v>
      </c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customFormat="false" ht="22.35" hidden="false" customHeight="false" outlineLevel="0" collapsed="false">
      <c r="A7" s="119" t="s">
        <v>1262</v>
      </c>
      <c r="B7" s="120" t="n">
        <f aca="false">'ธ.ค.68'!B25</f>
        <v>12038</v>
      </c>
      <c r="C7" s="121" t="n">
        <f aca="false">'ธ.ค.68'!C25</f>
        <v>16613850</v>
      </c>
      <c r="D7" s="120" t="n">
        <f aca="false">'ธ.ค.68'!H25</f>
        <v>264</v>
      </c>
      <c r="E7" s="126" t="n">
        <f aca="false">'ธ.ค.68'!I25</f>
        <v>193880</v>
      </c>
      <c r="F7" s="120" t="n">
        <f aca="false">'ธ.ค.68'!P25</f>
        <v>4667</v>
      </c>
      <c r="G7" s="126" t="n">
        <f aca="false">'ธ.ค.68'!Q25</f>
        <v>9452898.36</v>
      </c>
      <c r="H7" s="124" t="n">
        <f aca="false">SUM(B7,D7,F7)</f>
        <v>16969</v>
      </c>
      <c r="I7" s="125" t="n">
        <f aca="false">SUM(C7,E7,G7)</f>
        <v>26260628.36</v>
      </c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customFormat="false" ht="22.35" hidden="false" customHeight="false" outlineLevel="0" collapsed="false">
      <c r="A8" s="119" t="s">
        <v>1263</v>
      </c>
      <c r="B8" s="123" t="n">
        <f aca="false">'ม.ค.69'!B26</f>
        <v>1171</v>
      </c>
      <c r="C8" s="121" t="n">
        <f aca="false">'ม.ค.69'!C26</f>
        <v>2977680</v>
      </c>
      <c r="D8" s="122" t="n">
        <f aca="false">'ม.ค.69'!H26</f>
        <v>207</v>
      </c>
      <c r="E8" s="121" t="n">
        <f aca="false">'ม.ค.69'!I26</f>
        <v>143090</v>
      </c>
      <c r="F8" s="123" t="n">
        <f aca="false">'ม.ค.69'!P26</f>
        <v>5065</v>
      </c>
      <c r="G8" s="121" t="n">
        <f aca="false">'ม.ค.69'!Q26</f>
        <v>10615727.69</v>
      </c>
      <c r="H8" s="127" t="n">
        <f aca="false">SUM(B8,D8,F8)</f>
        <v>6443</v>
      </c>
      <c r="I8" s="125" t="n">
        <f aca="false">SUM(C8,E8,G8)</f>
        <v>13736497.69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customFormat="false" ht="22.35" hidden="false" customHeight="false" outlineLevel="0" collapsed="false">
      <c r="A9" s="119" t="s">
        <v>1264</v>
      </c>
      <c r="B9" s="120" t="n">
        <f aca="false">'ก.พ.69'!B27</f>
        <v>442</v>
      </c>
      <c r="C9" s="121" t="n">
        <f aca="false">'ก.พ.69'!C27</f>
        <v>2105730</v>
      </c>
      <c r="D9" s="120" t="n">
        <f aca="false">'ก.พ.69'!H27</f>
        <v>128</v>
      </c>
      <c r="E9" s="126" t="n">
        <f aca="false">'ก.พ.69'!I27</f>
        <v>78950</v>
      </c>
      <c r="F9" s="120" t="n">
        <f aca="false">'ก.พ.69'!P27</f>
        <v>4178</v>
      </c>
      <c r="G9" s="126" t="n">
        <f aca="false">'ก.พ.69'!Q27</f>
        <v>10014964.32</v>
      </c>
      <c r="H9" s="124" t="n">
        <f aca="false">SUM(B9,D9,F9)</f>
        <v>4748</v>
      </c>
      <c r="I9" s="125" t="n">
        <f aca="false">SUM(C9,E9,G9)</f>
        <v>12199644.32</v>
      </c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customFormat="false" ht="22.35" hidden="false" customHeight="false" outlineLevel="0" collapsed="false">
      <c r="A10" s="119" t="s">
        <v>1265</v>
      </c>
      <c r="B10" s="120" t="n">
        <f aca="false">'มี.ค.69'!B28</f>
        <v>250</v>
      </c>
      <c r="C10" s="121" t="n">
        <f aca="false">'มี.ค.69'!C28</f>
        <v>366300</v>
      </c>
      <c r="D10" s="120" t="n">
        <f aca="false">'มี.ค.69'!H28</f>
        <v>133</v>
      </c>
      <c r="E10" s="126" t="n">
        <f aca="false">'มี.ค.69'!I28</f>
        <v>53520</v>
      </c>
      <c r="F10" s="120" t="n">
        <f aca="false">'มี.ค.69'!P28</f>
        <v>1709</v>
      </c>
      <c r="G10" s="126" t="n">
        <f aca="false">'มี.ค.69'!Q28</f>
        <v>3840492.65</v>
      </c>
      <c r="H10" s="124" t="n">
        <f aca="false">SUM(B10,D10,F10)</f>
        <v>2092</v>
      </c>
      <c r="I10" s="125" t="n">
        <f aca="false">SUM(C10,E10,G10)</f>
        <v>4260312.65</v>
      </c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customFormat="false" ht="22.35" hidden="false" customHeight="false" outlineLevel="0" collapsed="false">
      <c r="A11" s="119" t="s">
        <v>1266</v>
      </c>
      <c r="B11" s="120" t="n">
        <f aca="false">'เม.ย.69'!B24</f>
        <v>164</v>
      </c>
      <c r="C11" s="121" t="n">
        <f aca="false">'เม.ย.69'!C24</f>
        <v>1145510</v>
      </c>
      <c r="D11" s="120" t="n">
        <f aca="false">'เม.ย.69'!H24</f>
        <v>91</v>
      </c>
      <c r="E11" s="126" t="n">
        <f aca="false">'เม.ย.69'!I24</f>
        <v>39450</v>
      </c>
      <c r="F11" s="120" t="n">
        <f aca="false">'เม.ย.69'!P24</f>
        <v>1220</v>
      </c>
      <c r="G11" s="126" t="n">
        <f aca="false">'เม.ย.69'!Q24</f>
        <v>2349618.3</v>
      </c>
      <c r="H11" s="124" t="n">
        <f aca="false">SUM(B11,D11,F11)</f>
        <v>1475</v>
      </c>
      <c r="I11" s="125" t="n">
        <f aca="false">SUM(C11,E11,G11)</f>
        <v>3534578.3</v>
      </c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customFormat="false" ht="22.35" hidden="false" customHeight="false" outlineLevel="0" collapsed="false">
      <c r="A12" s="119" t="s">
        <v>1267</v>
      </c>
      <c r="B12" s="120" t="n">
        <f aca="false">'พ.ค.69'!B24</f>
        <v>85</v>
      </c>
      <c r="C12" s="121" t="n">
        <f aca="false">'พ.ค.69'!C24</f>
        <v>559130</v>
      </c>
      <c r="D12" s="120" t="n">
        <f aca="false">'พ.ค.69'!H24</f>
        <v>87</v>
      </c>
      <c r="E12" s="126" t="n">
        <f aca="false">'พ.ค.69'!I24</f>
        <v>38900</v>
      </c>
      <c r="F12" s="120" t="n">
        <f aca="false">'พ.ค.69'!P24</f>
        <v>884</v>
      </c>
      <c r="G12" s="126" t="n">
        <f aca="false">'พ.ค.69'!Q24</f>
        <v>1567557.64</v>
      </c>
      <c r="H12" s="124" t="n">
        <f aca="false">SUM(B12,D12,F12)</f>
        <v>1056</v>
      </c>
      <c r="I12" s="125" t="n">
        <f aca="false">SUM(C12,E12,G12)</f>
        <v>2165587.64</v>
      </c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customFormat="false" ht="22.35" hidden="false" customHeight="false" outlineLevel="0" collapsed="false">
      <c r="A13" s="119" t="s">
        <v>1268</v>
      </c>
      <c r="B13" s="120" t="n">
        <f aca="false">'มิ.ย.69'!B27</f>
        <v>109</v>
      </c>
      <c r="C13" s="121" t="n">
        <f aca="false">'มิ.ย.69'!C27</f>
        <v>61750</v>
      </c>
      <c r="D13" s="120" t="n">
        <f aca="false">'มิ.ย.69'!H27</f>
        <v>102</v>
      </c>
      <c r="E13" s="126" t="n">
        <f aca="false">'มิ.ย.69'!I27</f>
        <v>73750</v>
      </c>
      <c r="F13" s="120" t="n">
        <f aca="false">'มิ.ย.69'!P27</f>
        <v>688</v>
      </c>
      <c r="G13" s="126" t="n">
        <f aca="false">'มิ.ย.69'!Q27</f>
        <v>1214246.57</v>
      </c>
      <c r="H13" s="124" t="n">
        <f aca="false">SUM(B13,D13,F13)</f>
        <v>899</v>
      </c>
      <c r="I13" s="125" t="n">
        <f aca="false">SUM(C13,E13,G13)</f>
        <v>1349746.57</v>
      </c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customFormat="false" ht="22.35" hidden="false" customHeight="false" outlineLevel="0" collapsed="false">
      <c r="A14" s="119" t="s">
        <v>1269</v>
      </c>
      <c r="B14" s="120" t="n">
        <f aca="false">'ก.ค.69'!B25</f>
        <v>70</v>
      </c>
      <c r="C14" s="121" t="n">
        <f aca="false">'ก.ค.69'!C25</f>
        <v>56050</v>
      </c>
      <c r="D14" s="120" t="n">
        <f aca="false">'ก.ค.69'!H25</f>
        <v>78</v>
      </c>
      <c r="E14" s="126" t="n">
        <f aca="false">'ก.ค.69'!I25</f>
        <v>44570</v>
      </c>
      <c r="F14" s="120" t="n">
        <f aca="false">'ก.ค.69'!P25</f>
        <v>577</v>
      </c>
      <c r="G14" s="126" t="n">
        <f aca="false">'ก.ค.69'!Q25</f>
        <v>1059549.13</v>
      </c>
      <c r="H14" s="124" t="n">
        <f aca="false">SUM(B14,D14,F14)</f>
        <v>725</v>
      </c>
      <c r="I14" s="125" t="n">
        <f aca="false">SUM(C14,E14,G14)</f>
        <v>1160169.13</v>
      </c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customFormat="false" ht="22.35" hidden="false" customHeight="false" outlineLevel="0" collapsed="false">
      <c r="A15" s="119" t="s">
        <v>1270</v>
      </c>
      <c r="B15" s="120" t="n">
        <f aca="false">'ส.ค.69'!B27</f>
        <v>52</v>
      </c>
      <c r="C15" s="121" t="n">
        <f aca="false">'ส.ค.69'!C27</f>
        <v>40050</v>
      </c>
      <c r="D15" s="120" t="n">
        <f aca="false">'ส.ค.69'!H27</f>
        <v>85</v>
      </c>
      <c r="E15" s="126" t="n">
        <f aca="false">'ส.ค.69'!I27</f>
        <v>47200</v>
      </c>
      <c r="F15" s="120" t="n">
        <f aca="false">'ส.ค.69'!P27</f>
        <v>587</v>
      </c>
      <c r="G15" s="126" t="n">
        <f aca="false">'ส.ค.69'!Q27</f>
        <v>1106841.19</v>
      </c>
      <c r="H15" s="124" t="n">
        <f aca="false">SUM(B15,D15,F15)</f>
        <v>724</v>
      </c>
      <c r="I15" s="125" t="n">
        <f aca="false">SUM(C15,E15,G15)</f>
        <v>1194091.19</v>
      </c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customFormat="false" ht="22.35" hidden="false" customHeight="false" outlineLevel="0" collapsed="false">
      <c r="A16" s="119" t="s">
        <v>1271</v>
      </c>
      <c r="B16" s="120" t="n">
        <f aca="false">'ก.ย.69'!B28</f>
        <v>19</v>
      </c>
      <c r="C16" s="121" t="n">
        <f aca="false">'ก.ย.69'!C28</f>
        <v>9000</v>
      </c>
      <c r="D16" s="120" t="n">
        <f aca="false">'ก.ย.69'!H28</f>
        <v>29</v>
      </c>
      <c r="E16" s="126" t="n">
        <f aca="false">'ก.ย.69'!I28</f>
        <v>13860</v>
      </c>
      <c r="F16" s="120" t="n">
        <f aca="false">'ก.ย.69'!P28</f>
        <v>176</v>
      </c>
      <c r="G16" s="126" t="n">
        <f aca="false">'ก.ย.69'!Q28</f>
        <v>402138.6</v>
      </c>
      <c r="H16" s="124" t="n">
        <f aca="false">SUM(B16,D16,F16)</f>
        <v>224</v>
      </c>
      <c r="I16" s="125" t="n">
        <f aca="false">SUM(C16,E16,G16)</f>
        <v>424998.6</v>
      </c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customFormat="false" ht="19.7" hidden="false" customHeight="false" outlineLevel="0" collapsed="false">
      <c r="A17" s="128" t="s">
        <v>122</v>
      </c>
      <c r="B17" s="129" t="n">
        <f aca="false">SUM(B5:B16)</f>
        <v>24529</v>
      </c>
      <c r="C17" s="130" t="n">
        <f aca="false">SUM(C3:C16)</f>
        <v>33874601</v>
      </c>
      <c r="D17" s="131" t="n">
        <f aca="false">SUM(D3:D16)</f>
        <v>1420</v>
      </c>
      <c r="E17" s="132" t="n">
        <f aca="false">SUM(E3:E16)</f>
        <v>831510</v>
      </c>
      <c r="F17" s="133" t="n">
        <f aca="false">SUM(F3:F16)</f>
        <v>20285</v>
      </c>
      <c r="G17" s="134" t="n">
        <f aca="false">SUM(G3:G16)</f>
        <v>42829176.28</v>
      </c>
      <c r="H17" s="135" t="n">
        <f aca="false">SUM(H5:H16)</f>
        <v>46234</v>
      </c>
      <c r="I17" s="136" t="n">
        <f aca="false">SUM(I5:I16)</f>
        <v>77535287.28</v>
      </c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customFormat="false" ht="15.75" hidden="false" customHeight="false" outlineLevel="0" collapsed="false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customFormat="false" ht="15.75" hidden="false" customHeight="false" outlineLevel="0" collapsed="false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customFormat="false" ht="15.75" hidden="false" customHeight="false" outlineLevel="0" collapsed="false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customFormat="false" ht="15.75" hidden="false" customHeight="false" outlineLevel="0" collapsed="false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customFormat="false" ht="15.75" hidden="false" customHeight="false" outlineLevel="0" collapsed="false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customFormat="false" ht="15.75" hidden="false" customHeight="false" outlineLevel="0" collapsed="false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customFormat="false" ht="15.75" hidden="false" customHeight="false" outlineLevel="0" collapsed="false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customFormat="false" ht="15.75" hidden="false" customHeight="false" outlineLevel="0" collapsed="false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customFormat="false" ht="15.75" hidden="false" customHeight="false" outlineLevel="0" collapsed="false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customFormat="false" ht="15.75" hidden="false" customHeight="false" outlineLevel="0" collapsed="false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customFormat="false" ht="15.75" hidden="false" customHeight="false" outlineLevel="0" collapsed="false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customFormat="false" ht="15.75" hidden="false" customHeight="false" outlineLevel="0" collapsed="false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customFormat="false" ht="15.75" hidden="false" customHeight="false" outlineLevel="0" collapsed="false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customFormat="false" ht="15.75" hidden="false" customHeight="false" outlineLevel="0" collapsed="false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customFormat="false" ht="15.75" hidden="false" customHeight="false" outlineLevel="0" collapsed="false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customFormat="false" ht="15.75" hidden="false" customHeight="false" outlineLevel="0" collapsed="false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customFormat="false" ht="15.75" hidden="false" customHeight="false" outlineLevel="0" collapsed="false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customFormat="false" ht="15.75" hidden="false" customHeight="false" outlineLevel="0" collapsed="false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customFormat="false" ht="15.75" hidden="false" customHeight="false" outlineLevel="0" collapsed="false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customFormat="false" ht="15.75" hidden="false" customHeight="false" outlineLevel="0" collapsed="false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customFormat="false" ht="15.75" hidden="false" customHeight="false" outlineLevel="0" collapsed="false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customFormat="false" ht="15.75" hidden="false" customHeight="false" outlineLevel="0" collapsed="false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customFormat="false" ht="15.75" hidden="false" customHeight="false" outlineLevel="0" collapsed="false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customFormat="false" ht="15.75" hidden="false" customHeight="false" outlineLevel="0" collapsed="false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customFormat="false" ht="15.75" hidden="false" customHeight="false" outlineLevel="0" collapsed="false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customFormat="false" ht="15.75" hidden="false" customHeight="false" outlineLevel="0" collapsed="false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customFormat="false" ht="15.75" hidden="false" customHeight="false" outlineLevel="0" collapsed="false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customFormat="false" ht="15.75" hidden="false" customHeight="false" outlineLevel="0" collapsed="false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customFormat="false" ht="15.75" hidden="false" customHeight="false" outlineLevel="0" collapsed="false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customFormat="false" ht="15.75" hidden="false" customHeight="false" outlineLevel="0" collapsed="false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customFormat="false" ht="15.75" hidden="false" customHeight="false" outlineLevel="0" collapsed="false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customFormat="false" ht="15.75" hidden="false" customHeight="false" outlineLevel="0" collapsed="false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customFormat="false" ht="15.75" hidden="false" customHeight="false" outlineLevel="0" collapsed="false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customFormat="false" ht="15.75" hidden="false" customHeight="false" outlineLevel="0" collapsed="false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customFormat="false" ht="15.75" hidden="false" customHeight="false" outlineLevel="0" collapsed="false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customFormat="false" ht="15.75" hidden="false" customHeight="false" outlineLevel="0" collapsed="false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customFormat="false" ht="15.75" hidden="false" customHeight="false" outlineLevel="0" collapsed="false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customFormat="false" ht="15.75" hidden="false" customHeight="false" outlineLevel="0" collapsed="false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customFormat="false" ht="15.75" hidden="false" customHeight="false" outlineLevel="0" collapsed="false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customFormat="false" ht="15.75" hidden="false" customHeight="false" outlineLevel="0" collapsed="false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customFormat="false" ht="15.75" hidden="false" customHeight="false" outlineLevel="0" collapsed="false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customFormat="false" ht="15.75" hidden="false" customHeight="false" outlineLevel="0" collapsed="false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customFormat="false" ht="15.75" hidden="false" customHeight="false" outlineLevel="0" collapsed="false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customFormat="false" ht="15.75" hidden="false" customHeight="false" outlineLevel="0" collapsed="false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customFormat="false" ht="15.75" hidden="false" customHeight="false" outlineLevel="0" collapsed="false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customFormat="false" ht="15.75" hidden="false" customHeight="false" outlineLevel="0" collapsed="false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customFormat="false" ht="15.75" hidden="false" customHeight="false" outlineLevel="0" collapsed="false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customFormat="false" ht="15.75" hidden="false" customHeight="false" outlineLevel="0" collapsed="false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customFormat="false" ht="15.75" hidden="false" customHeight="false" outlineLevel="0" collapsed="false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customFormat="false" ht="15.75" hidden="false" customHeight="false" outlineLevel="0" collapsed="false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customFormat="false" ht="15.75" hidden="false" customHeight="false" outlineLevel="0" collapsed="false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customFormat="false" ht="15.75" hidden="false" customHeight="false" outlineLevel="0" collapsed="false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customFormat="false" ht="15.75" hidden="false" customHeight="false" outlineLevel="0" collapsed="false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customFormat="false" ht="15.75" hidden="false" customHeight="false" outlineLevel="0" collapsed="false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customFormat="false" ht="15.75" hidden="false" customHeight="false" outlineLevel="0" collapsed="false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customFormat="false" ht="15.75" hidden="false" customHeight="false" outlineLevel="0" collapsed="false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customFormat="false" ht="15.75" hidden="false" customHeight="false" outlineLevel="0" collapsed="false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customFormat="false" ht="15.75" hidden="false" customHeight="false" outlineLevel="0" collapsed="false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customFormat="false" ht="15.75" hidden="false" customHeight="false" outlineLevel="0" collapsed="false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customFormat="false" ht="15.75" hidden="false" customHeight="false" outlineLevel="0" collapsed="false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customFormat="false" ht="15.75" hidden="false" customHeight="false" outlineLevel="0" collapsed="false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customFormat="false" ht="15.75" hidden="false" customHeight="false" outlineLevel="0" collapsed="false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customFormat="false" ht="15.75" hidden="false" customHeight="false" outlineLevel="0" collapsed="false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customFormat="false" ht="15.75" hidden="false" customHeight="false" outlineLevel="0" collapsed="false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customFormat="false" ht="15.75" hidden="false" customHeight="false" outlineLevel="0" collapsed="false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customFormat="false" ht="15.75" hidden="false" customHeight="false" outlineLevel="0" collapsed="false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customFormat="false" ht="15.75" hidden="false" customHeight="false" outlineLevel="0" collapsed="false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customFormat="false" ht="15.75" hidden="false" customHeight="false" outlineLevel="0" collapsed="false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customFormat="false" ht="15.75" hidden="false" customHeight="false" outlineLevel="0" collapsed="false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customFormat="false" ht="15.75" hidden="false" customHeight="false" outlineLevel="0" collapsed="false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customFormat="false" ht="15.75" hidden="false" customHeight="false" outlineLevel="0" collapsed="false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customFormat="false" ht="15.75" hidden="false" customHeight="false" outlineLevel="0" collapsed="false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customFormat="false" ht="15.75" hidden="false" customHeight="false" outlineLevel="0" collapsed="false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customFormat="false" ht="15.75" hidden="false" customHeight="false" outlineLevel="0" collapsed="false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customFormat="false" ht="15.75" hidden="false" customHeight="false" outlineLevel="0" collapsed="false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customFormat="false" ht="15.75" hidden="false" customHeight="false" outlineLevel="0" collapsed="false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customFormat="false" ht="15.75" hidden="false" customHeight="false" outlineLevel="0" collapsed="false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customFormat="false" ht="15.75" hidden="false" customHeight="false" outlineLevel="0" collapsed="false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customFormat="false" ht="15.75" hidden="false" customHeight="false" outlineLevel="0" collapsed="false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customFormat="false" ht="15.75" hidden="false" customHeight="false" outlineLevel="0" collapsed="false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customFormat="false" ht="15.75" hidden="false" customHeight="false" outlineLevel="0" collapsed="false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customFormat="false" ht="15.75" hidden="false" customHeight="false" outlineLevel="0" collapsed="false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customFormat="false" ht="15.75" hidden="false" customHeight="false" outlineLevel="0" collapsed="false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customFormat="false" ht="15.75" hidden="false" customHeight="false" outlineLevel="0" collapsed="false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customFormat="false" ht="15.75" hidden="false" customHeight="false" outlineLevel="0" collapsed="false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customFormat="false" ht="15.75" hidden="false" customHeight="false" outlineLevel="0" collapsed="false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customFormat="false" ht="15.75" hidden="false" customHeight="false" outlineLevel="0" collapsed="false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customFormat="false" ht="15.75" hidden="false" customHeight="false" outlineLevel="0" collapsed="false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customFormat="false" ht="15.75" hidden="false" customHeight="false" outlineLevel="0" collapsed="false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customFormat="false" ht="15.75" hidden="false" customHeight="false" outlineLevel="0" collapsed="false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customFormat="false" ht="15.75" hidden="false" customHeight="false" outlineLevel="0" collapsed="false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customFormat="false" ht="15.75" hidden="false" customHeight="false" outlineLevel="0" collapsed="false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customFormat="false" ht="15.75" hidden="false" customHeight="false" outlineLevel="0" collapsed="false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customFormat="false" ht="15.75" hidden="false" customHeight="false" outlineLevel="0" collapsed="false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customFormat="false" ht="15.75" hidden="false" customHeight="false" outlineLevel="0" collapsed="false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customFormat="false" ht="15.75" hidden="false" customHeight="false" outlineLevel="0" collapsed="false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customFormat="false" ht="15.75" hidden="false" customHeight="false" outlineLevel="0" collapsed="false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customFormat="false" ht="15.75" hidden="false" customHeight="false" outlineLevel="0" collapsed="false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customFormat="false" ht="15.75" hidden="false" customHeight="false" outlineLevel="0" collapsed="false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customFormat="false" ht="15.75" hidden="false" customHeight="false" outlineLevel="0" collapsed="false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customFormat="false" ht="15.75" hidden="false" customHeight="false" outlineLevel="0" collapsed="false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customFormat="false" ht="15.75" hidden="false" customHeight="false" outlineLevel="0" collapsed="false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customFormat="false" ht="15.75" hidden="false" customHeight="false" outlineLevel="0" collapsed="false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customFormat="false" ht="15.75" hidden="false" customHeight="false" outlineLevel="0" collapsed="false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customFormat="false" ht="15.75" hidden="false" customHeight="false" outlineLevel="0" collapsed="false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customFormat="false" ht="15.75" hidden="false" customHeight="false" outlineLevel="0" collapsed="false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customFormat="false" ht="15.75" hidden="false" customHeight="false" outlineLevel="0" collapsed="false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customFormat="false" ht="15.75" hidden="false" customHeight="false" outlineLevel="0" collapsed="false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customFormat="false" ht="15.75" hidden="false" customHeight="false" outlineLevel="0" collapsed="false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customFormat="false" ht="15.75" hidden="false" customHeight="false" outlineLevel="0" collapsed="false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customFormat="false" ht="15.75" hidden="false" customHeight="false" outlineLevel="0" collapsed="false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customFormat="false" ht="15.75" hidden="false" customHeight="false" outlineLevel="0" collapsed="false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customFormat="false" ht="15.75" hidden="false" customHeight="false" outlineLevel="0" collapsed="false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customFormat="false" ht="15.75" hidden="false" customHeight="false" outlineLevel="0" collapsed="false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customFormat="false" ht="15.75" hidden="false" customHeight="false" outlineLevel="0" collapsed="false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customFormat="false" ht="15.75" hidden="false" customHeight="false" outlineLevel="0" collapsed="false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customFormat="false" ht="15.75" hidden="false" customHeight="false" outlineLevel="0" collapsed="false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customFormat="false" ht="15.75" hidden="false" customHeight="false" outlineLevel="0" collapsed="false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customFormat="false" ht="15.75" hidden="false" customHeight="false" outlineLevel="0" collapsed="false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customFormat="false" ht="15.75" hidden="false" customHeight="false" outlineLevel="0" collapsed="false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customFormat="false" ht="15.75" hidden="false" customHeight="false" outlineLevel="0" collapsed="false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customFormat="false" ht="15.75" hidden="false" customHeight="false" outlineLevel="0" collapsed="false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customFormat="false" ht="15.75" hidden="false" customHeight="false" outlineLevel="0" collapsed="false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customFormat="false" ht="15.75" hidden="false" customHeight="false" outlineLevel="0" collapsed="false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customFormat="false" ht="15.75" hidden="false" customHeight="false" outlineLevel="0" collapsed="false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customFormat="false" ht="15.75" hidden="false" customHeight="false" outlineLevel="0" collapsed="false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customFormat="false" ht="15.75" hidden="false" customHeight="false" outlineLevel="0" collapsed="false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customFormat="false" ht="15.75" hidden="false" customHeight="false" outlineLevel="0" collapsed="false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customFormat="false" ht="15.75" hidden="false" customHeight="false" outlineLevel="0" collapsed="false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customFormat="false" ht="15.75" hidden="false" customHeight="false" outlineLevel="0" collapsed="false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customFormat="false" ht="15.75" hidden="false" customHeight="false" outlineLevel="0" collapsed="false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customFormat="false" ht="15.75" hidden="false" customHeight="false" outlineLevel="0" collapsed="false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customFormat="false" ht="15.75" hidden="false" customHeight="false" outlineLevel="0" collapsed="false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customFormat="false" ht="15.75" hidden="false" customHeight="false" outlineLevel="0" collapsed="false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customFormat="false" ht="15.75" hidden="false" customHeight="false" outlineLevel="0" collapsed="false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customFormat="false" ht="15.75" hidden="false" customHeight="false" outlineLevel="0" collapsed="false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customFormat="false" ht="15.75" hidden="false" customHeight="false" outlineLevel="0" collapsed="false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customFormat="false" ht="15.75" hidden="false" customHeight="false" outlineLevel="0" collapsed="false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customFormat="false" ht="15.75" hidden="false" customHeight="false" outlineLevel="0" collapsed="false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customFormat="false" ht="15.75" hidden="false" customHeight="false" outlineLevel="0" collapsed="false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customFormat="false" ht="15.75" hidden="false" customHeight="false" outlineLevel="0" collapsed="false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customFormat="false" ht="15.75" hidden="false" customHeight="false" outlineLevel="0" collapsed="false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customFormat="false" ht="15.75" hidden="false" customHeight="false" outlineLevel="0" collapsed="false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customFormat="false" ht="15.75" hidden="false" customHeight="false" outlineLevel="0" collapsed="false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customFormat="false" ht="15.75" hidden="false" customHeight="false" outlineLevel="0" collapsed="false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customFormat="false" ht="15.75" hidden="false" customHeight="false" outlineLevel="0" collapsed="false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customFormat="false" ht="15.75" hidden="false" customHeight="false" outlineLevel="0" collapsed="false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customFormat="false" ht="15.75" hidden="false" customHeight="false" outlineLevel="0" collapsed="false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customFormat="false" ht="15.75" hidden="false" customHeight="false" outlineLevel="0" collapsed="false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customFormat="false" ht="15.75" hidden="false" customHeight="false" outlineLevel="0" collapsed="false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customFormat="false" ht="15.75" hidden="false" customHeight="false" outlineLevel="0" collapsed="false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customFormat="false" ht="15.75" hidden="false" customHeight="false" outlineLevel="0" collapsed="false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customFormat="false" ht="15.75" hidden="false" customHeight="false" outlineLevel="0" collapsed="false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customFormat="false" ht="15.75" hidden="false" customHeight="false" outlineLevel="0" collapsed="false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customFormat="false" ht="15.75" hidden="false" customHeight="false" outlineLevel="0" collapsed="false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customFormat="false" ht="15.75" hidden="false" customHeight="false" outlineLevel="0" collapsed="false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customFormat="false" ht="15.75" hidden="false" customHeight="false" outlineLevel="0" collapsed="false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customFormat="false" ht="15.75" hidden="false" customHeight="false" outlineLevel="0" collapsed="false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customFormat="false" ht="15.75" hidden="false" customHeight="false" outlineLevel="0" collapsed="false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customFormat="false" ht="15.75" hidden="false" customHeight="false" outlineLevel="0" collapsed="false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customFormat="false" ht="15.75" hidden="false" customHeight="false" outlineLevel="0" collapsed="false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customFormat="false" ht="15.75" hidden="false" customHeight="false" outlineLevel="0" collapsed="false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customFormat="false" ht="15.75" hidden="false" customHeight="false" outlineLevel="0" collapsed="false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customFormat="false" ht="15.75" hidden="false" customHeight="false" outlineLevel="0" collapsed="false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customFormat="false" ht="15.75" hidden="false" customHeight="false" outlineLevel="0" collapsed="false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customFormat="false" ht="15.75" hidden="false" customHeight="false" outlineLevel="0" collapsed="false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customFormat="false" ht="15.75" hidden="false" customHeight="false" outlineLevel="0" collapsed="false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customFormat="false" ht="15.75" hidden="false" customHeight="false" outlineLevel="0" collapsed="false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customFormat="false" ht="15.75" hidden="false" customHeight="false" outlineLevel="0" collapsed="false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customFormat="false" ht="15.75" hidden="false" customHeight="false" outlineLevel="0" collapsed="false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customFormat="false" ht="15.75" hidden="false" customHeight="false" outlineLevel="0" collapsed="false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customFormat="false" ht="15.75" hidden="false" customHeight="false" outlineLevel="0" collapsed="false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customFormat="false" ht="15.75" hidden="false" customHeight="false" outlineLevel="0" collapsed="false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customFormat="false" ht="15.75" hidden="false" customHeight="false" outlineLevel="0" collapsed="false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customFormat="false" ht="15.75" hidden="false" customHeight="false" outlineLevel="0" collapsed="false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customFormat="false" ht="15.75" hidden="false" customHeight="false" outlineLevel="0" collapsed="false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customFormat="false" ht="15.75" hidden="false" customHeight="false" outlineLevel="0" collapsed="false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customFormat="false" ht="15.75" hidden="false" customHeight="false" outlineLevel="0" collapsed="false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customFormat="false" ht="15.75" hidden="false" customHeight="false" outlineLevel="0" collapsed="false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customFormat="false" ht="15.75" hidden="false" customHeight="false" outlineLevel="0" collapsed="false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customFormat="false" ht="15.75" hidden="false" customHeight="false" outlineLevel="0" collapsed="false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customFormat="false" ht="15.75" hidden="false" customHeight="false" outlineLevel="0" collapsed="false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customFormat="false" ht="15.75" hidden="false" customHeight="false" outlineLevel="0" collapsed="false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customFormat="false" ht="15.75" hidden="false" customHeight="false" outlineLevel="0" collapsed="false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customFormat="false" ht="15.75" hidden="false" customHeight="false" outlineLevel="0" collapsed="false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customFormat="false" ht="15.75" hidden="false" customHeight="false" outlineLevel="0" collapsed="false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customFormat="false" ht="15.75" hidden="false" customHeight="false" outlineLevel="0" collapsed="false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customFormat="false" ht="15.75" hidden="false" customHeight="false" outlineLevel="0" collapsed="false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customFormat="false" ht="15.75" hidden="false" customHeight="false" outlineLevel="0" collapsed="false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customFormat="false" ht="15.75" hidden="false" customHeight="false" outlineLevel="0" collapsed="false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customFormat="false" ht="15.75" hidden="false" customHeight="false" outlineLevel="0" collapsed="false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customFormat="false" ht="15.75" hidden="false" customHeight="false" outlineLevel="0" collapsed="false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customFormat="false" ht="15.75" hidden="false" customHeight="false" outlineLevel="0" collapsed="false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customFormat="false" ht="15.75" hidden="false" customHeight="false" outlineLevel="0" collapsed="false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customFormat="false" ht="15.75" hidden="false" customHeight="false" outlineLevel="0" collapsed="false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customFormat="false" ht="15.75" hidden="false" customHeight="false" outlineLevel="0" collapsed="false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customFormat="false" ht="15.75" hidden="false" customHeight="false" outlineLevel="0" collapsed="false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customFormat="false" ht="15.75" hidden="false" customHeight="false" outlineLevel="0" collapsed="false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customFormat="false" ht="15.75" hidden="false" customHeight="false" outlineLevel="0" collapsed="false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customFormat="false" ht="15.75" hidden="false" customHeight="false" outlineLevel="0" collapsed="false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customFormat="false" ht="15.75" hidden="false" customHeight="false" outlineLevel="0" collapsed="false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customFormat="false" ht="15.75" hidden="false" customHeight="false" outlineLevel="0" collapsed="false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customFormat="false" ht="15.75" hidden="false" customHeight="false" outlineLevel="0" collapsed="false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customFormat="false" ht="15.75" hidden="false" customHeight="false" outlineLevel="0" collapsed="false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customFormat="false" ht="15.75" hidden="false" customHeight="false" outlineLevel="0" collapsed="false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customFormat="false" ht="15.75" hidden="false" customHeight="false" outlineLevel="0" collapsed="false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customFormat="false" ht="15.75" hidden="false" customHeight="false" outlineLevel="0" collapsed="false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customFormat="false" ht="15.75" hidden="false" customHeight="false" outlineLevel="0" collapsed="false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customFormat="false" ht="15.75" hidden="false" customHeight="false" outlineLevel="0" collapsed="false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customFormat="false" ht="15.75" hidden="false" customHeight="false" outlineLevel="0" collapsed="false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customFormat="false" ht="15.75" hidden="false" customHeight="false" outlineLevel="0" collapsed="false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customFormat="false" ht="15.75" hidden="false" customHeight="false" outlineLevel="0" collapsed="false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customFormat="false" ht="15.75" hidden="false" customHeight="false" outlineLevel="0" collapsed="false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customFormat="false" ht="15.75" hidden="false" customHeight="false" outlineLevel="0" collapsed="false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customFormat="false" ht="15.75" hidden="false" customHeight="false" outlineLevel="0" collapsed="false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customFormat="false" ht="15.75" hidden="false" customHeight="false" outlineLevel="0" collapsed="false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customFormat="false" ht="15.75" hidden="false" customHeight="false" outlineLevel="0" collapsed="false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customFormat="false" ht="15.75" hidden="false" customHeight="false" outlineLevel="0" collapsed="false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customFormat="false" ht="15.75" hidden="false" customHeight="false" outlineLevel="0" collapsed="false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customFormat="false" ht="15.75" hidden="false" customHeight="false" outlineLevel="0" collapsed="false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customFormat="false" ht="15.75" hidden="false" customHeight="false" outlineLevel="0" collapsed="false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customFormat="false" ht="15.75" hidden="false" customHeight="false" outlineLevel="0" collapsed="false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customFormat="false" ht="15.75" hidden="false" customHeight="false" outlineLevel="0" collapsed="false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customFormat="false" ht="15.75" hidden="false" customHeight="false" outlineLevel="0" collapsed="false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customFormat="false" ht="15.75" hidden="false" customHeight="false" outlineLevel="0" collapsed="false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customFormat="false" ht="15.75" hidden="false" customHeight="false" outlineLevel="0" collapsed="false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customFormat="false" ht="15.75" hidden="false" customHeight="false" outlineLevel="0" collapsed="false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customFormat="false" ht="15.75" hidden="false" customHeight="false" outlineLevel="0" collapsed="false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customFormat="false" ht="15.75" hidden="false" customHeight="false" outlineLevel="0" collapsed="false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customFormat="false" ht="15.75" hidden="false" customHeight="false" outlineLevel="0" collapsed="false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customFormat="false" ht="15.75" hidden="false" customHeight="false" outlineLevel="0" collapsed="false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customFormat="false" ht="15.75" hidden="false" customHeight="false" outlineLevel="0" collapsed="false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customFormat="false" ht="15.75" hidden="false" customHeight="false" outlineLevel="0" collapsed="false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customFormat="false" ht="15.75" hidden="false" customHeight="false" outlineLevel="0" collapsed="false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customFormat="false" ht="15.75" hidden="false" customHeight="false" outlineLevel="0" collapsed="false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customFormat="false" ht="15.75" hidden="false" customHeight="false" outlineLevel="0" collapsed="false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customFormat="false" ht="15.75" hidden="false" customHeight="false" outlineLevel="0" collapsed="false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customFormat="false" ht="15.75" hidden="false" customHeight="false" outlineLevel="0" collapsed="false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customFormat="false" ht="15.75" hidden="false" customHeight="false" outlineLevel="0" collapsed="false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customFormat="false" ht="15.75" hidden="false" customHeight="false" outlineLevel="0" collapsed="false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customFormat="false" ht="15.75" hidden="false" customHeight="false" outlineLevel="0" collapsed="false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customFormat="false" ht="15.75" hidden="false" customHeight="false" outlineLevel="0" collapsed="false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customFormat="false" ht="15.75" hidden="false" customHeight="false" outlineLevel="0" collapsed="false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customFormat="false" ht="15.75" hidden="false" customHeight="false" outlineLevel="0" collapsed="false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customFormat="false" ht="15.75" hidden="false" customHeight="false" outlineLevel="0" collapsed="false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customFormat="false" ht="15.75" hidden="false" customHeight="false" outlineLevel="0" collapsed="false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customFormat="false" ht="15.75" hidden="false" customHeight="false" outlineLevel="0" collapsed="false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customFormat="false" ht="15.75" hidden="false" customHeight="false" outlineLevel="0" collapsed="false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customFormat="false" ht="15.75" hidden="false" customHeight="false" outlineLevel="0" collapsed="false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customFormat="false" ht="15.75" hidden="false" customHeight="false" outlineLevel="0" collapsed="false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customFormat="false" ht="15.75" hidden="false" customHeight="false" outlineLevel="0" collapsed="false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customFormat="false" ht="15.75" hidden="false" customHeight="false" outlineLevel="0" collapsed="false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customFormat="false" ht="15.75" hidden="false" customHeight="false" outlineLevel="0" collapsed="false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customFormat="false" ht="15.75" hidden="false" customHeight="false" outlineLevel="0" collapsed="false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customFormat="false" ht="15.75" hidden="false" customHeight="false" outlineLevel="0" collapsed="false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customFormat="false" ht="15.75" hidden="false" customHeight="false" outlineLevel="0" collapsed="false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customFormat="false" ht="15.75" hidden="false" customHeight="false" outlineLevel="0" collapsed="false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customFormat="false" ht="15.75" hidden="false" customHeight="false" outlineLevel="0" collapsed="false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customFormat="false" ht="15.75" hidden="false" customHeight="false" outlineLevel="0" collapsed="false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customFormat="false" ht="15.75" hidden="false" customHeight="false" outlineLevel="0" collapsed="false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customFormat="false" ht="15.75" hidden="false" customHeight="false" outlineLevel="0" collapsed="false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customFormat="false" ht="15.75" hidden="false" customHeight="false" outlineLevel="0" collapsed="false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customFormat="false" ht="15.75" hidden="false" customHeight="false" outlineLevel="0" collapsed="false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customFormat="false" ht="15.75" hidden="false" customHeight="false" outlineLevel="0" collapsed="false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customFormat="false" ht="15.75" hidden="false" customHeight="false" outlineLevel="0" collapsed="false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customFormat="false" ht="15.75" hidden="false" customHeight="false" outlineLevel="0" collapsed="false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customFormat="false" ht="15.75" hidden="false" customHeight="false" outlineLevel="0" collapsed="false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customFormat="false" ht="15.75" hidden="false" customHeight="false" outlineLevel="0" collapsed="false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customFormat="false" ht="15.75" hidden="false" customHeight="false" outlineLevel="0" collapsed="false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customFormat="false" ht="15.75" hidden="false" customHeight="false" outlineLevel="0" collapsed="false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customFormat="false" ht="15.75" hidden="false" customHeight="false" outlineLevel="0" collapsed="false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customFormat="false" ht="15.75" hidden="false" customHeight="false" outlineLevel="0" collapsed="false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customFormat="false" ht="15.75" hidden="false" customHeight="false" outlineLevel="0" collapsed="false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customFormat="false" ht="15.75" hidden="false" customHeight="false" outlineLevel="0" collapsed="false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customFormat="false" ht="15.75" hidden="false" customHeight="false" outlineLevel="0" collapsed="false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customFormat="false" ht="15.75" hidden="false" customHeight="false" outlineLevel="0" collapsed="false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customFormat="false" ht="15.75" hidden="false" customHeight="false" outlineLevel="0" collapsed="false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customFormat="false" ht="15.75" hidden="false" customHeight="false" outlineLevel="0" collapsed="false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customFormat="false" ht="15.75" hidden="false" customHeight="false" outlineLevel="0" collapsed="false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customFormat="false" ht="15.75" hidden="false" customHeight="false" outlineLevel="0" collapsed="false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customFormat="false" ht="15.75" hidden="false" customHeight="false" outlineLevel="0" collapsed="false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customFormat="false" ht="15.75" hidden="false" customHeight="false" outlineLevel="0" collapsed="false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customFormat="false" ht="15.75" hidden="false" customHeight="false" outlineLevel="0" collapsed="false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customFormat="false" ht="15.75" hidden="false" customHeight="false" outlineLevel="0" collapsed="false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customFormat="false" ht="15.75" hidden="false" customHeight="false" outlineLevel="0" collapsed="false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customFormat="false" ht="15.75" hidden="false" customHeight="false" outlineLevel="0" collapsed="false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customFormat="false" ht="15.75" hidden="false" customHeight="false" outlineLevel="0" collapsed="false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customFormat="false" ht="15.75" hidden="false" customHeight="false" outlineLevel="0" collapsed="false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customFormat="false" ht="15.75" hidden="false" customHeight="false" outlineLevel="0" collapsed="false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customFormat="false" ht="15.75" hidden="false" customHeight="false" outlineLevel="0" collapsed="false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customFormat="false" ht="15.75" hidden="false" customHeight="false" outlineLevel="0" collapsed="false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customFormat="false" ht="15.75" hidden="false" customHeight="false" outlineLevel="0" collapsed="false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customFormat="false" ht="15.75" hidden="false" customHeight="false" outlineLevel="0" collapsed="false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customFormat="false" ht="15.75" hidden="false" customHeight="false" outlineLevel="0" collapsed="false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customFormat="false" ht="15.75" hidden="false" customHeight="false" outlineLevel="0" collapsed="false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customFormat="false" ht="15.75" hidden="false" customHeight="false" outlineLevel="0" collapsed="false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customFormat="false" ht="15.75" hidden="false" customHeight="false" outlineLevel="0" collapsed="false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customFormat="false" ht="15.75" hidden="false" customHeight="false" outlineLevel="0" collapsed="false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customFormat="false" ht="15.75" hidden="false" customHeight="false" outlineLevel="0" collapsed="false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customFormat="false" ht="15.75" hidden="false" customHeight="false" outlineLevel="0" collapsed="false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customFormat="false" ht="15.75" hidden="false" customHeight="false" outlineLevel="0" collapsed="false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customFormat="false" ht="15.75" hidden="false" customHeight="false" outlineLevel="0" collapsed="false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customFormat="false" ht="15.75" hidden="false" customHeight="false" outlineLevel="0" collapsed="false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customFormat="false" ht="15.75" hidden="false" customHeight="false" outlineLevel="0" collapsed="false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customFormat="false" ht="15.75" hidden="false" customHeight="false" outlineLevel="0" collapsed="false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customFormat="false" ht="15.75" hidden="false" customHeight="false" outlineLevel="0" collapsed="false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customFormat="false" ht="15.75" hidden="false" customHeight="false" outlineLevel="0" collapsed="false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customFormat="false" ht="15.75" hidden="false" customHeight="false" outlineLevel="0" collapsed="false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customFormat="false" ht="15.75" hidden="false" customHeight="false" outlineLevel="0" collapsed="false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customFormat="false" ht="15.75" hidden="false" customHeight="false" outlineLevel="0" collapsed="false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customFormat="false" ht="15.75" hidden="false" customHeight="false" outlineLevel="0" collapsed="false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customFormat="false" ht="15.75" hidden="false" customHeight="false" outlineLevel="0" collapsed="false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customFormat="false" ht="15.75" hidden="false" customHeight="false" outlineLevel="0" collapsed="false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customFormat="false" ht="15.75" hidden="false" customHeight="false" outlineLevel="0" collapsed="false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customFormat="false" ht="15.75" hidden="false" customHeight="false" outlineLevel="0" collapsed="false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customFormat="false" ht="15.75" hidden="false" customHeight="false" outlineLevel="0" collapsed="false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customFormat="false" ht="15.75" hidden="false" customHeight="false" outlineLevel="0" collapsed="false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customFormat="false" ht="15.75" hidden="false" customHeight="false" outlineLevel="0" collapsed="false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customFormat="false" ht="15.75" hidden="false" customHeight="false" outlineLevel="0" collapsed="false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customFormat="false" ht="15.75" hidden="false" customHeight="false" outlineLevel="0" collapsed="false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customFormat="false" ht="15.75" hidden="false" customHeight="false" outlineLevel="0" collapsed="false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customFormat="false" ht="15.75" hidden="false" customHeight="false" outlineLevel="0" collapsed="false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customFormat="false" ht="15.75" hidden="false" customHeight="false" outlineLevel="0" collapsed="false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customFormat="false" ht="15.75" hidden="false" customHeight="false" outlineLevel="0" collapsed="false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customFormat="false" ht="15.75" hidden="false" customHeight="false" outlineLevel="0" collapsed="false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customFormat="false" ht="15.75" hidden="false" customHeight="false" outlineLevel="0" collapsed="false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customFormat="false" ht="15.75" hidden="false" customHeight="false" outlineLevel="0" collapsed="false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customFormat="false" ht="15.75" hidden="false" customHeight="false" outlineLevel="0" collapsed="false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customFormat="false" ht="15.75" hidden="false" customHeight="false" outlineLevel="0" collapsed="false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customFormat="false" ht="15.75" hidden="false" customHeight="false" outlineLevel="0" collapsed="false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customFormat="false" ht="15.75" hidden="false" customHeight="false" outlineLevel="0" collapsed="false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customFormat="false" ht="15.75" hidden="false" customHeight="false" outlineLevel="0" collapsed="false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customFormat="false" ht="15.75" hidden="false" customHeight="false" outlineLevel="0" collapsed="false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customFormat="false" ht="15.75" hidden="false" customHeight="false" outlineLevel="0" collapsed="false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customFormat="false" ht="15.75" hidden="false" customHeight="false" outlineLevel="0" collapsed="false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customFormat="false" ht="15.75" hidden="false" customHeight="false" outlineLevel="0" collapsed="false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customFormat="false" ht="15.75" hidden="false" customHeight="false" outlineLevel="0" collapsed="false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customFormat="false" ht="15.75" hidden="false" customHeight="false" outlineLevel="0" collapsed="false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customFormat="false" ht="15.75" hidden="false" customHeight="false" outlineLevel="0" collapsed="false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customFormat="false" ht="15.75" hidden="false" customHeight="false" outlineLevel="0" collapsed="false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customFormat="false" ht="15.75" hidden="false" customHeight="false" outlineLevel="0" collapsed="false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customFormat="false" ht="15.75" hidden="false" customHeight="false" outlineLevel="0" collapsed="false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customFormat="false" ht="15.75" hidden="false" customHeight="false" outlineLevel="0" collapsed="false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customFormat="false" ht="15.75" hidden="false" customHeight="false" outlineLevel="0" collapsed="false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customFormat="false" ht="15.75" hidden="false" customHeight="false" outlineLevel="0" collapsed="false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customFormat="false" ht="15.75" hidden="false" customHeight="false" outlineLevel="0" collapsed="false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customFormat="false" ht="15.75" hidden="false" customHeight="false" outlineLevel="0" collapsed="false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customFormat="false" ht="15.75" hidden="false" customHeight="false" outlineLevel="0" collapsed="false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customFormat="false" ht="15.75" hidden="false" customHeight="false" outlineLevel="0" collapsed="false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customFormat="false" ht="15.75" hidden="false" customHeight="false" outlineLevel="0" collapsed="false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customFormat="false" ht="15.75" hidden="false" customHeight="false" outlineLevel="0" collapsed="false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customFormat="false" ht="15.75" hidden="false" customHeight="false" outlineLevel="0" collapsed="false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customFormat="false" ht="15.75" hidden="false" customHeight="false" outlineLevel="0" collapsed="false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customFormat="false" ht="15.75" hidden="false" customHeight="false" outlineLevel="0" collapsed="false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customFormat="false" ht="15.75" hidden="false" customHeight="false" outlineLevel="0" collapsed="false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customFormat="false" ht="15.75" hidden="false" customHeight="false" outlineLevel="0" collapsed="false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customFormat="false" ht="15.75" hidden="false" customHeight="false" outlineLevel="0" collapsed="false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customFormat="false" ht="15.75" hidden="false" customHeight="false" outlineLevel="0" collapsed="false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customFormat="false" ht="15.75" hidden="false" customHeight="false" outlineLevel="0" collapsed="false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customFormat="false" ht="15.75" hidden="false" customHeight="false" outlineLevel="0" collapsed="false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customFormat="false" ht="15.75" hidden="false" customHeight="false" outlineLevel="0" collapsed="false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customFormat="false" ht="15.75" hidden="false" customHeight="false" outlineLevel="0" collapsed="false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customFormat="false" ht="15.75" hidden="false" customHeight="false" outlineLevel="0" collapsed="false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customFormat="false" ht="15.75" hidden="false" customHeight="false" outlineLevel="0" collapsed="false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customFormat="false" ht="15.75" hidden="false" customHeight="false" outlineLevel="0" collapsed="false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customFormat="false" ht="15.75" hidden="false" customHeight="false" outlineLevel="0" collapsed="false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customFormat="false" ht="15.75" hidden="false" customHeight="false" outlineLevel="0" collapsed="false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customFormat="false" ht="15.75" hidden="false" customHeight="false" outlineLevel="0" collapsed="false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customFormat="false" ht="15.75" hidden="false" customHeight="false" outlineLevel="0" collapsed="false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customFormat="false" ht="15.75" hidden="false" customHeight="false" outlineLevel="0" collapsed="false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customFormat="false" ht="15.75" hidden="false" customHeight="false" outlineLevel="0" collapsed="false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customFormat="false" ht="15.75" hidden="false" customHeight="false" outlineLevel="0" collapsed="false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customFormat="false" ht="15.75" hidden="false" customHeight="false" outlineLevel="0" collapsed="false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customFormat="false" ht="15.75" hidden="false" customHeight="false" outlineLevel="0" collapsed="false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customFormat="false" ht="15.75" hidden="false" customHeight="false" outlineLevel="0" collapsed="false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customFormat="false" ht="15.75" hidden="false" customHeight="false" outlineLevel="0" collapsed="false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customFormat="false" ht="15.75" hidden="false" customHeight="false" outlineLevel="0" collapsed="false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customFormat="false" ht="15.75" hidden="false" customHeight="false" outlineLevel="0" collapsed="false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customFormat="false" ht="15.75" hidden="false" customHeight="false" outlineLevel="0" collapsed="false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customFormat="false" ht="15.75" hidden="false" customHeight="false" outlineLevel="0" collapsed="false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customFormat="false" ht="15.75" hidden="false" customHeight="false" outlineLevel="0" collapsed="false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customFormat="false" ht="15.75" hidden="false" customHeight="false" outlineLevel="0" collapsed="false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customFormat="false" ht="15.75" hidden="false" customHeight="false" outlineLevel="0" collapsed="false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customFormat="false" ht="15.75" hidden="false" customHeight="false" outlineLevel="0" collapsed="false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customFormat="false" ht="15.75" hidden="false" customHeight="false" outlineLevel="0" collapsed="false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customFormat="false" ht="15.75" hidden="false" customHeight="false" outlineLevel="0" collapsed="false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customFormat="false" ht="15.75" hidden="false" customHeight="false" outlineLevel="0" collapsed="false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customFormat="false" ht="15.75" hidden="false" customHeight="false" outlineLevel="0" collapsed="false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customFormat="false" ht="15.75" hidden="false" customHeight="false" outlineLevel="0" collapsed="false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customFormat="false" ht="15.75" hidden="false" customHeight="false" outlineLevel="0" collapsed="false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customFormat="false" ht="15.75" hidden="false" customHeight="false" outlineLevel="0" collapsed="false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customFormat="false" ht="15.75" hidden="false" customHeight="false" outlineLevel="0" collapsed="false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customFormat="false" ht="15.75" hidden="false" customHeight="false" outlineLevel="0" collapsed="false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customFormat="false" ht="15.75" hidden="false" customHeight="false" outlineLevel="0" collapsed="false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customFormat="false" ht="15.75" hidden="false" customHeight="false" outlineLevel="0" collapsed="false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customFormat="false" ht="15.75" hidden="false" customHeight="false" outlineLevel="0" collapsed="false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customFormat="false" ht="15.75" hidden="false" customHeight="false" outlineLevel="0" collapsed="false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customFormat="false" ht="15.75" hidden="false" customHeight="false" outlineLevel="0" collapsed="false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customFormat="false" ht="15.75" hidden="false" customHeight="false" outlineLevel="0" collapsed="false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customFormat="false" ht="15.75" hidden="false" customHeight="false" outlineLevel="0" collapsed="false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customFormat="false" ht="15.75" hidden="false" customHeight="false" outlineLevel="0" collapsed="false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customFormat="false" ht="15.75" hidden="false" customHeight="false" outlineLevel="0" collapsed="false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customFormat="false" ht="15.75" hidden="false" customHeight="false" outlineLevel="0" collapsed="false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customFormat="false" ht="15.75" hidden="false" customHeight="false" outlineLevel="0" collapsed="false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customFormat="false" ht="15.75" hidden="false" customHeight="false" outlineLevel="0" collapsed="false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customFormat="false" ht="15.75" hidden="false" customHeight="false" outlineLevel="0" collapsed="false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customFormat="false" ht="15.75" hidden="false" customHeight="false" outlineLevel="0" collapsed="false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customFormat="false" ht="15.75" hidden="false" customHeight="false" outlineLevel="0" collapsed="false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customFormat="false" ht="15.75" hidden="false" customHeight="false" outlineLevel="0" collapsed="false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customFormat="false" ht="15.75" hidden="false" customHeight="false" outlineLevel="0" collapsed="false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customFormat="false" ht="15.75" hidden="false" customHeight="false" outlineLevel="0" collapsed="false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customFormat="false" ht="15.75" hidden="false" customHeight="false" outlineLevel="0" collapsed="false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customFormat="false" ht="15.75" hidden="false" customHeight="false" outlineLevel="0" collapsed="false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customFormat="false" ht="15.75" hidden="false" customHeight="false" outlineLevel="0" collapsed="false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customFormat="false" ht="15.75" hidden="false" customHeight="false" outlineLevel="0" collapsed="false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customFormat="false" ht="15.75" hidden="false" customHeight="false" outlineLevel="0" collapsed="false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customFormat="false" ht="15.75" hidden="false" customHeight="false" outlineLevel="0" collapsed="false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customFormat="false" ht="15.75" hidden="false" customHeight="false" outlineLevel="0" collapsed="false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customFormat="false" ht="15.75" hidden="false" customHeight="false" outlineLevel="0" collapsed="false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customFormat="false" ht="15.75" hidden="false" customHeight="false" outlineLevel="0" collapsed="false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customFormat="false" ht="15.75" hidden="false" customHeight="false" outlineLevel="0" collapsed="false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customFormat="false" ht="15.75" hidden="false" customHeight="false" outlineLevel="0" collapsed="false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customFormat="false" ht="15.75" hidden="false" customHeight="false" outlineLevel="0" collapsed="false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customFormat="false" ht="15.75" hidden="false" customHeight="false" outlineLevel="0" collapsed="false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customFormat="false" ht="15.75" hidden="false" customHeight="false" outlineLevel="0" collapsed="false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customFormat="false" ht="15.75" hidden="false" customHeight="false" outlineLevel="0" collapsed="false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customFormat="false" ht="15.75" hidden="false" customHeight="false" outlineLevel="0" collapsed="false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customFormat="false" ht="15.75" hidden="false" customHeight="false" outlineLevel="0" collapsed="false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customFormat="false" ht="15.75" hidden="false" customHeight="false" outlineLevel="0" collapsed="false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customFormat="false" ht="15.75" hidden="false" customHeight="false" outlineLevel="0" collapsed="false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customFormat="false" ht="15.75" hidden="false" customHeight="false" outlineLevel="0" collapsed="false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customFormat="false" ht="15.75" hidden="false" customHeight="false" outlineLevel="0" collapsed="false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customFormat="false" ht="15.75" hidden="false" customHeight="false" outlineLevel="0" collapsed="false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customFormat="false" ht="15.75" hidden="false" customHeight="false" outlineLevel="0" collapsed="false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customFormat="false" ht="15.75" hidden="false" customHeight="false" outlineLevel="0" collapsed="false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customFormat="false" ht="15.75" hidden="false" customHeight="false" outlineLevel="0" collapsed="false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customFormat="false" ht="15.75" hidden="false" customHeight="false" outlineLevel="0" collapsed="false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customFormat="false" ht="15.75" hidden="false" customHeight="false" outlineLevel="0" collapsed="false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customFormat="false" ht="15.75" hidden="false" customHeight="false" outlineLevel="0" collapsed="false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customFormat="false" ht="15.75" hidden="false" customHeight="false" outlineLevel="0" collapsed="false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customFormat="false" ht="15.75" hidden="false" customHeight="false" outlineLevel="0" collapsed="false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customFormat="false" ht="15.75" hidden="false" customHeight="false" outlineLevel="0" collapsed="false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customFormat="false" ht="15.75" hidden="false" customHeight="false" outlineLevel="0" collapsed="false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customFormat="false" ht="15.75" hidden="false" customHeight="false" outlineLevel="0" collapsed="false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customFormat="false" ht="15.75" hidden="false" customHeight="false" outlineLevel="0" collapsed="false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customFormat="false" ht="15.75" hidden="false" customHeight="false" outlineLevel="0" collapsed="false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customFormat="false" ht="15.75" hidden="false" customHeight="false" outlineLevel="0" collapsed="false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customFormat="false" ht="15.75" hidden="false" customHeight="false" outlineLevel="0" collapsed="false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customFormat="false" ht="15.75" hidden="false" customHeight="false" outlineLevel="0" collapsed="false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customFormat="false" ht="15.75" hidden="false" customHeight="false" outlineLevel="0" collapsed="false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customFormat="false" ht="15.75" hidden="false" customHeight="false" outlineLevel="0" collapsed="false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customFormat="false" ht="15.75" hidden="false" customHeight="false" outlineLevel="0" collapsed="false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customFormat="false" ht="15.75" hidden="false" customHeight="false" outlineLevel="0" collapsed="false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customFormat="false" ht="15.75" hidden="false" customHeight="false" outlineLevel="0" collapsed="false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customFormat="false" ht="15.75" hidden="false" customHeight="false" outlineLevel="0" collapsed="false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customFormat="false" ht="15.75" hidden="false" customHeight="false" outlineLevel="0" collapsed="false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customFormat="false" ht="15.75" hidden="false" customHeight="false" outlineLevel="0" collapsed="false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customFormat="false" ht="15.75" hidden="false" customHeight="false" outlineLevel="0" collapsed="false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customFormat="false" ht="15.75" hidden="false" customHeight="false" outlineLevel="0" collapsed="false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customFormat="false" ht="15.75" hidden="false" customHeight="false" outlineLevel="0" collapsed="false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customFormat="false" ht="15.75" hidden="false" customHeight="false" outlineLevel="0" collapsed="false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customFormat="false" ht="15.75" hidden="false" customHeight="false" outlineLevel="0" collapsed="false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customFormat="false" ht="15.75" hidden="false" customHeight="false" outlineLevel="0" collapsed="false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customFormat="false" ht="15.75" hidden="false" customHeight="false" outlineLevel="0" collapsed="false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customFormat="false" ht="15.75" hidden="false" customHeight="false" outlineLevel="0" collapsed="false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customFormat="false" ht="15.75" hidden="false" customHeight="false" outlineLevel="0" collapsed="false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customFormat="false" ht="15.75" hidden="false" customHeight="false" outlineLevel="0" collapsed="false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customFormat="false" ht="15.75" hidden="false" customHeight="false" outlineLevel="0" collapsed="false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customFormat="false" ht="15.75" hidden="false" customHeight="false" outlineLevel="0" collapsed="false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customFormat="false" ht="15.75" hidden="false" customHeight="false" outlineLevel="0" collapsed="false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customFormat="false" ht="15.75" hidden="false" customHeight="false" outlineLevel="0" collapsed="false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customFormat="false" ht="15.75" hidden="false" customHeight="false" outlineLevel="0" collapsed="false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customFormat="false" ht="15.75" hidden="false" customHeight="false" outlineLevel="0" collapsed="false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customFormat="false" ht="15.75" hidden="false" customHeight="false" outlineLevel="0" collapsed="false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customFormat="false" ht="15.75" hidden="false" customHeight="false" outlineLevel="0" collapsed="false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customFormat="false" ht="15.75" hidden="false" customHeight="false" outlineLevel="0" collapsed="false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customFormat="false" ht="15.75" hidden="false" customHeight="false" outlineLevel="0" collapsed="false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customFormat="false" ht="15.75" hidden="false" customHeight="false" outlineLevel="0" collapsed="false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customFormat="false" ht="15.75" hidden="false" customHeight="false" outlineLevel="0" collapsed="false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customFormat="false" ht="15.75" hidden="false" customHeight="false" outlineLevel="0" collapsed="false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customFormat="false" ht="15.75" hidden="false" customHeight="false" outlineLevel="0" collapsed="false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customFormat="false" ht="15.75" hidden="false" customHeight="false" outlineLevel="0" collapsed="false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customFormat="false" ht="15.75" hidden="false" customHeight="false" outlineLevel="0" collapsed="false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customFormat="false" ht="15.75" hidden="false" customHeight="false" outlineLevel="0" collapsed="false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customFormat="false" ht="15.75" hidden="false" customHeight="false" outlineLevel="0" collapsed="false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customFormat="false" ht="15.75" hidden="false" customHeight="false" outlineLevel="0" collapsed="false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customFormat="false" ht="15.75" hidden="false" customHeight="false" outlineLevel="0" collapsed="false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customFormat="false" ht="15.75" hidden="false" customHeight="false" outlineLevel="0" collapsed="false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customFormat="false" ht="15.75" hidden="false" customHeight="false" outlineLevel="0" collapsed="false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customFormat="false" ht="15.75" hidden="false" customHeight="false" outlineLevel="0" collapsed="false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customFormat="false" ht="15.75" hidden="false" customHeight="false" outlineLevel="0" collapsed="false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customFormat="false" ht="15.75" hidden="false" customHeight="false" outlineLevel="0" collapsed="false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customFormat="false" ht="15.75" hidden="false" customHeight="false" outlineLevel="0" collapsed="false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customFormat="false" ht="15.75" hidden="false" customHeight="false" outlineLevel="0" collapsed="false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customFormat="false" ht="15.75" hidden="false" customHeight="false" outlineLevel="0" collapsed="false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customFormat="false" ht="15.75" hidden="false" customHeight="false" outlineLevel="0" collapsed="false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customFormat="false" ht="15.75" hidden="false" customHeight="false" outlineLevel="0" collapsed="false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customFormat="false" ht="15.75" hidden="false" customHeight="false" outlineLevel="0" collapsed="false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customFormat="false" ht="15.75" hidden="false" customHeight="false" outlineLevel="0" collapsed="false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customFormat="false" ht="15.75" hidden="false" customHeight="false" outlineLevel="0" collapsed="false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customFormat="false" ht="15.75" hidden="false" customHeight="false" outlineLevel="0" collapsed="false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customFormat="false" ht="15.75" hidden="false" customHeight="false" outlineLevel="0" collapsed="false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customFormat="false" ht="15.75" hidden="false" customHeight="false" outlineLevel="0" collapsed="false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customFormat="false" ht="15.75" hidden="false" customHeight="false" outlineLevel="0" collapsed="false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customFormat="false" ht="15.75" hidden="false" customHeight="false" outlineLevel="0" collapsed="false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customFormat="false" ht="15.75" hidden="false" customHeight="false" outlineLevel="0" collapsed="false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customFormat="false" ht="15.75" hidden="false" customHeight="false" outlineLevel="0" collapsed="false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customFormat="false" ht="15.75" hidden="false" customHeight="false" outlineLevel="0" collapsed="false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customFormat="false" ht="15.75" hidden="false" customHeight="false" outlineLevel="0" collapsed="false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customFormat="false" ht="15.75" hidden="false" customHeight="false" outlineLevel="0" collapsed="false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customFormat="false" ht="15.75" hidden="false" customHeight="false" outlineLevel="0" collapsed="false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customFormat="false" ht="15.75" hidden="false" customHeight="false" outlineLevel="0" collapsed="false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customFormat="false" ht="15.75" hidden="false" customHeight="false" outlineLevel="0" collapsed="false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customFormat="false" ht="15.75" hidden="false" customHeight="false" outlineLevel="0" collapsed="false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customFormat="false" ht="15.75" hidden="false" customHeight="false" outlineLevel="0" collapsed="false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customFormat="false" ht="15.75" hidden="false" customHeight="false" outlineLevel="0" collapsed="false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customFormat="false" ht="15.75" hidden="false" customHeight="false" outlineLevel="0" collapsed="false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customFormat="false" ht="15.75" hidden="false" customHeight="false" outlineLevel="0" collapsed="false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customFormat="false" ht="15.75" hidden="false" customHeight="false" outlineLevel="0" collapsed="false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customFormat="false" ht="15.75" hidden="false" customHeight="false" outlineLevel="0" collapsed="false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customFormat="false" ht="15.75" hidden="false" customHeight="false" outlineLevel="0" collapsed="false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customFormat="false" ht="15.75" hidden="false" customHeight="false" outlineLevel="0" collapsed="false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customFormat="false" ht="15.75" hidden="false" customHeight="false" outlineLevel="0" collapsed="false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customFormat="false" ht="15.75" hidden="false" customHeight="false" outlineLevel="0" collapsed="false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customFormat="false" ht="15.75" hidden="false" customHeight="false" outlineLevel="0" collapsed="false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customFormat="false" ht="15.75" hidden="false" customHeight="false" outlineLevel="0" collapsed="false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customFormat="false" ht="15.75" hidden="false" customHeight="false" outlineLevel="0" collapsed="false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customFormat="false" ht="15.75" hidden="false" customHeight="false" outlineLevel="0" collapsed="false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customFormat="false" ht="15.75" hidden="false" customHeight="false" outlineLevel="0" collapsed="false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customFormat="false" ht="15.75" hidden="false" customHeight="false" outlineLevel="0" collapsed="false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customFormat="false" ht="15.75" hidden="false" customHeight="false" outlineLevel="0" collapsed="false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customFormat="false" ht="15.75" hidden="false" customHeight="false" outlineLevel="0" collapsed="false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customFormat="false" ht="15.75" hidden="false" customHeight="false" outlineLevel="0" collapsed="false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customFormat="false" ht="15.75" hidden="false" customHeight="false" outlineLevel="0" collapsed="false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customFormat="false" ht="15.75" hidden="false" customHeight="false" outlineLevel="0" collapsed="false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customFormat="false" ht="15.75" hidden="false" customHeight="false" outlineLevel="0" collapsed="false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customFormat="false" ht="15.75" hidden="false" customHeight="false" outlineLevel="0" collapsed="false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customFormat="false" ht="15.75" hidden="false" customHeight="false" outlineLevel="0" collapsed="false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customFormat="false" ht="15.75" hidden="false" customHeight="false" outlineLevel="0" collapsed="false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customFormat="false" ht="15.75" hidden="false" customHeight="false" outlineLevel="0" collapsed="false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customFormat="false" ht="15.75" hidden="false" customHeight="false" outlineLevel="0" collapsed="false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customFormat="false" ht="15.75" hidden="false" customHeight="false" outlineLevel="0" collapsed="false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customFormat="false" ht="15.75" hidden="false" customHeight="false" outlineLevel="0" collapsed="false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customFormat="false" ht="15.75" hidden="false" customHeight="false" outlineLevel="0" collapsed="false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customFormat="false" ht="15.75" hidden="false" customHeight="false" outlineLevel="0" collapsed="false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customFormat="false" ht="15.75" hidden="false" customHeight="false" outlineLevel="0" collapsed="false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customFormat="false" ht="15.75" hidden="false" customHeight="false" outlineLevel="0" collapsed="false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customFormat="false" ht="15.75" hidden="false" customHeight="false" outlineLevel="0" collapsed="false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customFormat="false" ht="15.75" hidden="false" customHeight="false" outlineLevel="0" collapsed="false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customFormat="false" ht="15.75" hidden="false" customHeight="false" outlineLevel="0" collapsed="false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customFormat="false" ht="15.75" hidden="false" customHeight="false" outlineLevel="0" collapsed="false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customFormat="false" ht="15.75" hidden="false" customHeight="false" outlineLevel="0" collapsed="false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customFormat="false" ht="15.75" hidden="false" customHeight="false" outlineLevel="0" collapsed="false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customFormat="false" ht="15.75" hidden="false" customHeight="false" outlineLevel="0" collapsed="false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customFormat="false" ht="15.75" hidden="false" customHeight="false" outlineLevel="0" collapsed="false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customFormat="false" ht="15.75" hidden="false" customHeight="false" outlineLevel="0" collapsed="false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customFormat="false" ht="15.75" hidden="false" customHeight="false" outlineLevel="0" collapsed="false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customFormat="false" ht="15.75" hidden="false" customHeight="false" outlineLevel="0" collapsed="false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customFormat="false" ht="15.75" hidden="false" customHeight="false" outlineLevel="0" collapsed="false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customFormat="false" ht="15.75" hidden="false" customHeight="false" outlineLevel="0" collapsed="false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customFormat="false" ht="15.75" hidden="false" customHeight="false" outlineLevel="0" collapsed="false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customFormat="false" ht="15.75" hidden="false" customHeight="false" outlineLevel="0" collapsed="false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customFormat="false" ht="15.75" hidden="false" customHeight="false" outlineLevel="0" collapsed="false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customFormat="false" ht="15.75" hidden="false" customHeight="false" outlineLevel="0" collapsed="false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customFormat="false" ht="15.75" hidden="false" customHeight="false" outlineLevel="0" collapsed="false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customFormat="false" ht="15.75" hidden="false" customHeight="false" outlineLevel="0" collapsed="false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customFormat="false" ht="15.75" hidden="false" customHeight="false" outlineLevel="0" collapsed="false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customFormat="false" ht="15.75" hidden="false" customHeight="false" outlineLevel="0" collapsed="false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customFormat="false" ht="15.75" hidden="false" customHeight="false" outlineLevel="0" collapsed="false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customFormat="false" ht="15.75" hidden="false" customHeight="false" outlineLevel="0" collapsed="false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customFormat="false" ht="15.75" hidden="false" customHeight="false" outlineLevel="0" collapsed="false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customFormat="false" ht="15.75" hidden="false" customHeight="false" outlineLevel="0" collapsed="false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customFormat="false" ht="15.75" hidden="false" customHeight="false" outlineLevel="0" collapsed="false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customFormat="false" ht="15.75" hidden="false" customHeight="false" outlineLevel="0" collapsed="false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customFormat="false" ht="15.75" hidden="false" customHeight="false" outlineLevel="0" collapsed="false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customFormat="false" ht="15.75" hidden="false" customHeight="false" outlineLevel="0" collapsed="false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customFormat="false" ht="15.75" hidden="false" customHeight="false" outlineLevel="0" collapsed="false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customFormat="false" ht="15.75" hidden="false" customHeight="false" outlineLevel="0" collapsed="false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customFormat="false" ht="15.75" hidden="false" customHeight="false" outlineLevel="0" collapsed="false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customFormat="false" ht="15.75" hidden="false" customHeight="false" outlineLevel="0" collapsed="false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customFormat="false" ht="15.75" hidden="false" customHeight="false" outlineLevel="0" collapsed="false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customFormat="false" ht="15.75" hidden="false" customHeight="false" outlineLevel="0" collapsed="false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customFormat="false" ht="15.75" hidden="false" customHeight="false" outlineLevel="0" collapsed="false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customFormat="false" ht="15.75" hidden="false" customHeight="false" outlineLevel="0" collapsed="false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customFormat="false" ht="15.75" hidden="false" customHeight="false" outlineLevel="0" collapsed="false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customFormat="false" ht="15.75" hidden="false" customHeight="false" outlineLevel="0" collapsed="false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customFormat="false" ht="15.75" hidden="false" customHeight="false" outlineLevel="0" collapsed="false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customFormat="false" ht="15.75" hidden="false" customHeight="false" outlineLevel="0" collapsed="false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customFormat="false" ht="15.75" hidden="false" customHeight="false" outlineLevel="0" collapsed="false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customFormat="false" ht="15.75" hidden="false" customHeight="false" outlineLevel="0" collapsed="false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customFormat="false" ht="15.75" hidden="false" customHeight="false" outlineLevel="0" collapsed="false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customFormat="false" ht="15.75" hidden="false" customHeight="false" outlineLevel="0" collapsed="false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customFormat="false" ht="15.75" hidden="false" customHeight="false" outlineLevel="0" collapsed="false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customFormat="false" ht="15.75" hidden="false" customHeight="false" outlineLevel="0" collapsed="false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customFormat="false" ht="15.75" hidden="false" customHeight="false" outlineLevel="0" collapsed="false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customFormat="false" ht="15.75" hidden="false" customHeight="false" outlineLevel="0" collapsed="false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customFormat="false" ht="15.75" hidden="false" customHeight="false" outlineLevel="0" collapsed="false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customFormat="false" ht="15.75" hidden="false" customHeight="false" outlineLevel="0" collapsed="false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customFormat="false" ht="15.75" hidden="false" customHeight="false" outlineLevel="0" collapsed="false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customFormat="false" ht="15.75" hidden="false" customHeight="false" outlineLevel="0" collapsed="false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customFormat="false" ht="15.75" hidden="false" customHeight="false" outlineLevel="0" collapsed="false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customFormat="false" ht="15.75" hidden="false" customHeight="false" outlineLevel="0" collapsed="false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customFormat="false" ht="15.75" hidden="false" customHeight="false" outlineLevel="0" collapsed="false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customFormat="false" ht="15.75" hidden="false" customHeight="false" outlineLevel="0" collapsed="false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customFormat="false" ht="15.75" hidden="false" customHeight="false" outlineLevel="0" collapsed="false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customFormat="false" ht="15.75" hidden="false" customHeight="false" outlineLevel="0" collapsed="false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customFormat="false" ht="15.75" hidden="false" customHeight="false" outlineLevel="0" collapsed="false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customFormat="false" ht="15.75" hidden="false" customHeight="false" outlineLevel="0" collapsed="false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customFormat="false" ht="15.75" hidden="false" customHeight="false" outlineLevel="0" collapsed="false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customFormat="false" ht="15.75" hidden="false" customHeight="false" outlineLevel="0" collapsed="false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customFormat="false" ht="15.75" hidden="false" customHeight="false" outlineLevel="0" collapsed="false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customFormat="false" ht="15.75" hidden="false" customHeight="false" outlineLevel="0" collapsed="false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customFormat="false" ht="15.75" hidden="false" customHeight="false" outlineLevel="0" collapsed="false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customFormat="false" ht="15.75" hidden="false" customHeight="false" outlineLevel="0" collapsed="false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customFormat="false" ht="15.75" hidden="false" customHeight="false" outlineLevel="0" collapsed="false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customFormat="false" ht="15.75" hidden="false" customHeight="false" outlineLevel="0" collapsed="false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customFormat="false" ht="15.75" hidden="false" customHeight="false" outlineLevel="0" collapsed="false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customFormat="false" ht="15.75" hidden="false" customHeight="false" outlineLevel="0" collapsed="false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customFormat="false" ht="15.75" hidden="false" customHeight="false" outlineLevel="0" collapsed="false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customFormat="false" ht="15.75" hidden="false" customHeight="false" outlineLevel="0" collapsed="false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customFormat="false" ht="15.75" hidden="false" customHeight="false" outlineLevel="0" collapsed="false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customFormat="false" ht="15.75" hidden="false" customHeight="false" outlineLevel="0" collapsed="false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customFormat="false" ht="15.75" hidden="false" customHeight="false" outlineLevel="0" collapsed="false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customFormat="false" ht="15.75" hidden="false" customHeight="false" outlineLevel="0" collapsed="false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customFormat="false" ht="15.75" hidden="false" customHeight="false" outlineLevel="0" collapsed="false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customFormat="false" ht="15.75" hidden="false" customHeight="false" outlineLevel="0" collapsed="false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customFormat="false" ht="15.75" hidden="false" customHeight="false" outlineLevel="0" collapsed="false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customFormat="false" ht="15.75" hidden="false" customHeight="false" outlineLevel="0" collapsed="false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customFormat="false" ht="15.75" hidden="false" customHeight="false" outlineLevel="0" collapsed="false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customFormat="false" ht="15.75" hidden="false" customHeight="false" outlineLevel="0" collapsed="false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customFormat="false" ht="15.75" hidden="false" customHeight="false" outlineLevel="0" collapsed="false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customFormat="false" ht="15.75" hidden="false" customHeight="false" outlineLevel="0" collapsed="false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customFormat="false" ht="15.75" hidden="false" customHeight="false" outlineLevel="0" collapsed="false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customFormat="false" ht="15.75" hidden="false" customHeight="false" outlineLevel="0" collapsed="false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customFormat="false" ht="15.75" hidden="false" customHeight="false" outlineLevel="0" collapsed="false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customFormat="false" ht="15.75" hidden="false" customHeight="false" outlineLevel="0" collapsed="false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customFormat="false" ht="15.75" hidden="false" customHeight="false" outlineLevel="0" collapsed="false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customFormat="false" ht="15.75" hidden="false" customHeight="false" outlineLevel="0" collapsed="false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customFormat="false" ht="15.75" hidden="false" customHeight="false" outlineLevel="0" collapsed="false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customFormat="false" ht="15.75" hidden="false" customHeight="false" outlineLevel="0" collapsed="false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customFormat="false" ht="15.75" hidden="false" customHeight="false" outlineLevel="0" collapsed="false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customFormat="false" ht="15.75" hidden="false" customHeight="false" outlineLevel="0" collapsed="false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customFormat="false" ht="15.75" hidden="false" customHeight="false" outlineLevel="0" collapsed="false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customFormat="false" ht="15.75" hidden="false" customHeight="false" outlineLevel="0" collapsed="false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customFormat="false" ht="15.75" hidden="false" customHeight="false" outlineLevel="0" collapsed="false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customFormat="false" ht="15.75" hidden="false" customHeight="false" outlineLevel="0" collapsed="false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customFormat="false" ht="15.75" hidden="false" customHeight="false" outlineLevel="0" collapsed="false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customFormat="false" ht="15.75" hidden="false" customHeight="false" outlineLevel="0" collapsed="false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customFormat="false" ht="15.75" hidden="false" customHeight="false" outlineLevel="0" collapsed="false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customFormat="false" ht="15.75" hidden="false" customHeight="false" outlineLevel="0" collapsed="false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customFormat="false" ht="15.75" hidden="false" customHeight="false" outlineLevel="0" collapsed="false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customFormat="false" ht="15.75" hidden="false" customHeight="false" outlineLevel="0" collapsed="false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customFormat="false" ht="15.75" hidden="false" customHeight="false" outlineLevel="0" collapsed="false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customFormat="false" ht="15.75" hidden="false" customHeight="false" outlineLevel="0" collapsed="false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customFormat="false" ht="15.75" hidden="false" customHeight="false" outlineLevel="0" collapsed="false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customFormat="false" ht="15.75" hidden="false" customHeight="false" outlineLevel="0" collapsed="false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customFormat="false" ht="15.75" hidden="false" customHeight="false" outlineLevel="0" collapsed="false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customFormat="false" ht="15.75" hidden="false" customHeight="false" outlineLevel="0" collapsed="false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customFormat="false" ht="15.75" hidden="false" customHeight="false" outlineLevel="0" collapsed="false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customFormat="false" ht="15.75" hidden="false" customHeight="false" outlineLevel="0" collapsed="false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customFormat="false" ht="15.75" hidden="false" customHeight="false" outlineLevel="0" collapsed="false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customFormat="false" ht="15.75" hidden="false" customHeight="false" outlineLevel="0" collapsed="false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customFormat="false" ht="15.75" hidden="false" customHeight="false" outlineLevel="0" collapsed="false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customFormat="false" ht="15.75" hidden="false" customHeight="false" outlineLevel="0" collapsed="false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customFormat="false" ht="15.75" hidden="false" customHeight="false" outlineLevel="0" collapsed="false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customFormat="false" ht="15.75" hidden="false" customHeight="false" outlineLevel="0" collapsed="false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customFormat="false" ht="15.75" hidden="false" customHeight="false" outlineLevel="0" collapsed="false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customFormat="false" ht="15.75" hidden="false" customHeight="false" outlineLevel="0" collapsed="false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customFormat="false" ht="15.75" hidden="false" customHeight="false" outlineLevel="0" collapsed="false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customFormat="false" ht="15.75" hidden="false" customHeight="false" outlineLevel="0" collapsed="false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customFormat="false" ht="15.75" hidden="false" customHeight="false" outlineLevel="0" collapsed="false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customFormat="false" ht="15.75" hidden="false" customHeight="false" outlineLevel="0" collapsed="false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customFormat="false" ht="15.75" hidden="false" customHeight="false" outlineLevel="0" collapsed="false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customFormat="false" ht="15.75" hidden="false" customHeight="false" outlineLevel="0" collapsed="false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customFormat="false" ht="15.75" hidden="false" customHeight="false" outlineLevel="0" collapsed="false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customFormat="false" ht="15.75" hidden="false" customHeight="false" outlineLevel="0" collapsed="false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customFormat="false" ht="15.75" hidden="false" customHeight="false" outlineLevel="0" collapsed="false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customFormat="false" ht="15.75" hidden="false" customHeight="false" outlineLevel="0" collapsed="false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customFormat="false" ht="15.75" hidden="false" customHeight="false" outlineLevel="0" collapsed="false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customFormat="false" ht="15.75" hidden="false" customHeight="false" outlineLevel="0" collapsed="false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customFormat="false" ht="15.75" hidden="false" customHeight="false" outlineLevel="0" collapsed="false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customFormat="false" ht="15.75" hidden="false" customHeight="false" outlineLevel="0" collapsed="false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customFormat="false" ht="15.75" hidden="false" customHeight="false" outlineLevel="0" collapsed="false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customFormat="false" ht="15.75" hidden="false" customHeight="false" outlineLevel="0" collapsed="false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customFormat="false" ht="15.75" hidden="false" customHeight="false" outlineLevel="0" collapsed="false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customFormat="false" ht="15.75" hidden="false" customHeight="false" outlineLevel="0" collapsed="false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customFormat="false" ht="15.75" hidden="false" customHeight="false" outlineLevel="0" collapsed="false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customFormat="false" ht="15.75" hidden="false" customHeight="false" outlineLevel="0" collapsed="false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customFormat="false" ht="15.75" hidden="false" customHeight="false" outlineLevel="0" collapsed="false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customFormat="false" ht="15.75" hidden="false" customHeight="false" outlineLevel="0" collapsed="false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customFormat="false" ht="15.75" hidden="false" customHeight="false" outlineLevel="0" collapsed="false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customFormat="false" ht="15.75" hidden="false" customHeight="false" outlineLevel="0" collapsed="false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customFormat="false" ht="15.75" hidden="false" customHeight="false" outlineLevel="0" collapsed="false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customFormat="false" ht="15.75" hidden="false" customHeight="false" outlineLevel="0" collapsed="false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customFormat="false" ht="15.75" hidden="false" customHeight="false" outlineLevel="0" collapsed="false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customFormat="false" ht="15.75" hidden="false" customHeight="false" outlineLevel="0" collapsed="false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customFormat="false" ht="15.75" hidden="false" customHeight="false" outlineLevel="0" collapsed="false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customFormat="false" ht="15.75" hidden="false" customHeight="false" outlineLevel="0" collapsed="false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customFormat="false" ht="15.75" hidden="false" customHeight="false" outlineLevel="0" collapsed="false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customFormat="false" ht="15.75" hidden="false" customHeight="false" outlineLevel="0" collapsed="false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customFormat="false" ht="15.75" hidden="false" customHeight="false" outlineLevel="0" collapsed="false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customFormat="false" ht="15.75" hidden="false" customHeight="false" outlineLevel="0" collapsed="false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customFormat="false" ht="15.75" hidden="false" customHeight="false" outlineLevel="0" collapsed="false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customFormat="false" ht="15.75" hidden="false" customHeight="false" outlineLevel="0" collapsed="false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customFormat="false" ht="15.75" hidden="false" customHeight="false" outlineLevel="0" collapsed="false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customFormat="false" ht="15.75" hidden="false" customHeight="false" outlineLevel="0" collapsed="false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customFormat="false" ht="15.75" hidden="false" customHeight="false" outlineLevel="0" collapsed="false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customFormat="false" ht="15.75" hidden="false" customHeight="false" outlineLevel="0" collapsed="false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customFormat="false" ht="15.75" hidden="false" customHeight="false" outlineLevel="0" collapsed="false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customFormat="false" ht="15.75" hidden="false" customHeight="false" outlineLevel="0" collapsed="false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customFormat="false" ht="15.75" hidden="false" customHeight="false" outlineLevel="0" collapsed="false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customFormat="false" ht="15.75" hidden="false" customHeight="false" outlineLevel="0" collapsed="false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customFormat="false" ht="15.75" hidden="false" customHeight="false" outlineLevel="0" collapsed="false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customFormat="false" ht="15.75" hidden="false" customHeight="false" outlineLevel="0" collapsed="false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customFormat="false" ht="15.75" hidden="false" customHeight="false" outlineLevel="0" collapsed="false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customFormat="false" ht="15.75" hidden="false" customHeight="false" outlineLevel="0" collapsed="false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customFormat="false" ht="15.75" hidden="false" customHeight="false" outlineLevel="0" collapsed="false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customFormat="false" ht="15.75" hidden="false" customHeight="false" outlineLevel="0" collapsed="false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customFormat="false" ht="15.75" hidden="false" customHeight="false" outlineLevel="0" collapsed="false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customFormat="false" ht="15.75" hidden="false" customHeight="false" outlineLevel="0" collapsed="false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customFormat="false" ht="15.75" hidden="false" customHeight="false" outlineLevel="0" collapsed="false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customFormat="false" ht="15.75" hidden="false" customHeight="false" outlineLevel="0" collapsed="false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customFormat="false" ht="15.75" hidden="false" customHeight="false" outlineLevel="0" collapsed="false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customFormat="false" ht="15.75" hidden="false" customHeight="false" outlineLevel="0" collapsed="false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customFormat="false" ht="15.75" hidden="false" customHeight="false" outlineLevel="0" collapsed="false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customFormat="false" ht="15.75" hidden="false" customHeight="false" outlineLevel="0" collapsed="false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customFormat="false" ht="15.75" hidden="false" customHeight="false" outlineLevel="0" collapsed="false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customFormat="false" ht="15.75" hidden="false" customHeight="false" outlineLevel="0" collapsed="false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customFormat="false" ht="15.75" hidden="false" customHeight="false" outlineLevel="0" collapsed="false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customFormat="false" ht="15.75" hidden="false" customHeight="false" outlineLevel="0" collapsed="false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customFormat="false" ht="15.75" hidden="false" customHeight="false" outlineLevel="0" collapsed="false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customFormat="false" ht="15.75" hidden="false" customHeight="false" outlineLevel="0" collapsed="false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customFormat="false" ht="15.75" hidden="false" customHeight="false" outlineLevel="0" collapsed="false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customFormat="false" ht="15.75" hidden="false" customHeight="false" outlineLevel="0" collapsed="false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customFormat="false" ht="15.75" hidden="false" customHeight="false" outlineLevel="0" collapsed="false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customFormat="false" ht="15.75" hidden="false" customHeight="false" outlineLevel="0" collapsed="false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customFormat="false" ht="15.75" hidden="false" customHeight="false" outlineLevel="0" collapsed="false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customFormat="false" ht="15.75" hidden="false" customHeight="false" outlineLevel="0" collapsed="false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customFormat="false" ht="15.75" hidden="false" customHeight="false" outlineLevel="0" collapsed="false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customFormat="false" ht="15.75" hidden="false" customHeight="false" outlineLevel="0" collapsed="false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customFormat="false" ht="15.75" hidden="false" customHeight="false" outlineLevel="0" collapsed="false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customFormat="false" ht="15.75" hidden="false" customHeight="false" outlineLevel="0" collapsed="false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customFormat="false" ht="15.75" hidden="false" customHeight="false" outlineLevel="0" collapsed="false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customFormat="false" ht="15.75" hidden="false" customHeight="false" outlineLevel="0" collapsed="false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customFormat="false" ht="15.75" hidden="false" customHeight="false" outlineLevel="0" collapsed="false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customFormat="false" ht="15.75" hidden="false" customHeight="false" outlineLevel="0" collapsed="false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customFormat="false" ht="15.75" hidden="false" customHeight="false" outlineLevel="0" collapsed="false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customFormat="false" ht="15.75" hidden="false" customHeight="false" outlineLevel="0" collapsed="false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customFormat="false" ht="15.75" hidden="false" customHeight="false" outlineLevel="0" collapsed="false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customFormat="false" ht="15.75" hidden="false" customHeight="false" outlineLevel="0" collapsed="false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customFormat="false" ht="15.75" hidden="false" customHeight="false" outlineLevel="0" collapsed="false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customFormat="false" ht="15.75" hidden="false" customHeight="false" outlineLevel="0" collapsed="false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customFormat="false" ht="15.75" hidden="false" customHeight="false" outlineLevel="0" collapsed="false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customFormat="false" ht="15.75" hidden="false" customHeight="false" outlineLevel="0" collapsed="false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customFormat="false" ht="15.75" hidden="false" customHeight="false" outlineLevel="0" collapsed="false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customFormat="false" ht="15.75" hidden="false" customHeight="false" outlineLevel="0" collapsed="false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customFormat="false" ht="15.75" hidden="false" customHeight="false" outlineLevel="0" collapsed="false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customFormat="false" ht="15.75" hidden="false" customHeight="false" outlineLevel="0" collapsed="false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customFormat="false" ht="15.75" hidden="false" customHeight="false" outlineLevel="0" collapsed="false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customFormat="false" ht="15.75" hidden="false" customHeight="false" outlineLevel="0" collapsed="false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customFormat="false" ht="15.75" hidden="false" customHeight="false" outlineLevel="0" collapsed="false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customFormat="false" ht="15.75" hidden="false" customHeight="false" outlineLevel="0" collapsed="false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customFormat="false" ht="15.75" hidden="false" customHeight="false" outlineLevel="0" collapsed="false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customFormat="false" ht="15.75" hidden="false" customHeight="false" outlineLevel="0" collapsed="false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customFormat="false" ht="15.75" hidden="false" customHeight="false" outlineLevel="0" collapsed="false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customFormat="false" ht="15.75" hidden="false" customHeight="false" outlineLevel="0" collapsed="false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customFormat="false" ht="15.75" hidden="false" customHeight="false" outlineLevel="0" collapsed="false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customFormat="false" ht="15.75" hidden="false" customHeight="false" outlineLevel="0" collapsed="false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customFormat="false" ht="15.75" hidden="false" customHeight="false" outlineLevel="0" collapsed="false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customFormat="false" ht="15.75" hidden="false" customHeight="false" outlineLevel="0" collapsed="false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customFormat="false" ht="15.75" hidden="false" customHeight="false" outlineLevel="0" collapsed="false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customFormat="false" ht="15.75" hidden="false" customHeight="false" outlineLevel="0" collapsed="false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customFormat="false" ht="15.75" hidden="false" customHeight="false" outlineLevel="0" collapsed="false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customFormat="false" ht="15.75" hidden="false" customHeight="false" outlineLevel="0" collapsed="false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customFormat="false" ht="15.75" hidden="false" customHeight="false" outlineLevel="0" collapsed="false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customFormat="false" ht="15.75" hidden="false" customHeight="false" outlineLevel="0" collapsed="false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customFormat="false" ht="15.75" hidden="false" customHeight="false" outlineLevel="0" collapsed="false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customFormat="false" ht="15.75" hidden="false" customHeight="false" outlineLevel="0" collapsed="false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customFormat="false" ht="15.75" hidden="false" customHeight="false" outlineLevel="0" collapsed="false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customFormat="false" ht="15.75" hidden="false" customHeight="false" outlineLevel="0" collapsed="false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customFormat="false" ht="15.75" hidden="false" customHeight="false" outlineLevel="0" collapsed="false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customFormat="false" ht="15.75" hidden="false" customHeight="false" outlineLevel="0" collapsed="false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customFormat="false" ht="15.75" hidden="false" customHeight="false" outlineLevel="0" collapsed="false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customFormat="false" ht="15.75" hidden="false" customHeight="false" outlineLevel="0" collapsed="false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customFormat="false" ht="15.75" hidden="false" customHeight="false" outlineLevel="0" collapsed="false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customFormat="false" ht="15.75" hidden="false" customHeight="false" outlineLevel="0" collapsed="false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customFormat="false" ht="15.75" hidden="false" customHeight="false" outlineLevel="0" collapsed="false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customFormat="false" ht="15.75" hidden="false" customHeight="false" outlineLevel="0" collapsed="false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customFormat="false" ht="15.75" hidden="false" customHeight="false" outlineLevel="0" collapsed="false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customFormat="false" ht="15.75" hidden="false" customHeight="false" outlineLevel="0" collapsed="false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customFormat="false" ht="15.75" hidden="false" customHeight="false" outlineLevel="0" collapsed="false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customFormat="false" ht="15.75" hidden="false" customHeight="false" outlineLevel="0" collapsed="false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customFormat="false" ht="15.75" hidden="false" customHeight="false" outlineLevel="0" collapsed="false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customFormat="false" ht="15.75" hidden="false" customHeight="false" outlineLevel="0" collapsed="false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customFormat="false" ht="15.75" hidden="false" customHeight="false" outlineLevel="0" collapsed="false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customFormat="false" ht="15.75" hidden="false" customHeight="false" outlineLevel="0" collapsed="false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customFormat="false" ht="15.75" hidden="false" customHeight="false" outlineLevel="0" collapsed="false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customFormat="false" ht="15.75" hidden="false" customHeight="false" outlineLevel="0" collapsed="false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customFormat="false" ht="15.75" hidden="false" customHeight="false" outlineLevel="0" collapsed="false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customFormat="false" ht="15.75" hidden="false" customHeight="false" outlineLevel="0" collapsed="false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customFormat="false" ht="15.75" hidden="false" customHeight="false" outlineLevel="0" collapsed="false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customFormat="false" ht="15.75" hidden="false" customHeight="false" outlineLevel="0" collapsed="false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customFormat="false" ht="15.75" hidden="false" customHeight="false" outlineLevel="0" collapsed="false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customFormat="false" ht="15.75" hidden="false" customHeight="false" outlineLevel="0" collapsed="false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customFormat="false" ht="15.75" hidden="false" customHeight="false" outlineLevel="0" collapsed="false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customFormat="false" ht="15.75" hidden="false" customHeight="false" outlineLevel="0" collapsed="false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customFormat="false" ht="15.75" hidden="false" customHeight="false" outlineLevel="0" collapsed="false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customFormat="false" ht="15.75" hidden="false" customHeight="false" outlineLevel="0" collapsed="false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customFormat="false" ht="15.75" hidden="false" customHeight="false" outlineLevel="0" collapsed="false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customFormat="false" ht="15.75" hidden="false" customHeight="false" outlineLevel="0" collapsed="false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customFormat="false" ht="15.75" hidden="false" customHeight="false" outlineLevel="0" collapsed="false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customFormat="false" ht="15.75" hidden="false" customHeight="false" outlineLevel="0" collapsed="false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customFormat="false" ht="15.75" hidden="false" customHeight="false" outlineLevel="0" collapsed="false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customFormat="false" ht="15.75" hidden="false" customHeight="false" outlineLevel="0" collapsed="false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customFormat="false" ht="15.75" hidden="false" customHeight="false" outlineLevel="0" collapsed="false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customFormat="false" ht="15.75" hidden="false" customHeight="false" outlineLevel="0" collapsed="false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customFormat="false" ht="15.75" hidden="false" customHeight="false" outlineLevel="0" collapsed="false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customFormat="false" ht="15.75" hidden="false" customHeight="false" outlineLevel="0" collapsed="false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customFormat="false" ht="15.75" hidden="false" customHeight="false" outlineLevel="0" collapsed="false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customFormat="false" ht="15.75" hidden="false" customHeight="false" outlineLevel="0" collapsed="false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customFormat="false" ht="15.75" hidden="false" customHeight="false" outlineLevel="0" collapsed="false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customFormat="false" ht="15.75" hidden="false" customHeight="false" outlineLevel="0" collapsed="false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customFormat="false" ht="15.75" hidden="false" customHeight="false" outlineLevel="0" collapsed="false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customFormat="false" ht="15.75" hidden="false" customHeight="false" outlineLevel="0" collapsed="false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customFormat="false" ht="15.75" hidden="false" customHeight="false" outlineLevel="0" collapsed="false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customFormat="false" ht="15.75" hidden="false" customHeight="false" outlineLevel="0" collapsed="false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customFormat="false" ht="15.75" hidden="false" customHeight="false" outlineLevel="0" collapsed="false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customFormat="false" ht="15.75" hidden="false" customHeight="false" outlineLevel="0" collapsed="false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customFormat="false" ht="15.75" hidden="false" customHeight="false" outlineLevel="0" collapsed="false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customFormat="false" ht="15.75" hidden="false" customHeight="false" outlineLevel="0" collapsed="false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customFormat="false" ht="15.75" hidden="false" customHeight="false" outlineLevel="0" collapsed="false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customFormat="false" ht="15.75" hidden="false" customHeight="false" outlineLevel="0" collapsed="false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customFormat="false" ht="15.75" hidden="false" customHeight="false" outlineLevel="0" collapsed="false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customFormat="false" ht="15.75" hidden="false" customHeight="false" outlineLevel="0" collapsed="false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customFormat="false" ht="15.75" hidden="false" customHeight="false" outlineLevel="0" collapsed="false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customFormat="false" ht="15.75" hidden="false" customHeight="false" outlineLevel="0" collapsed="false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customFormat="false" ht="15.75" hidden="false" customHeight="false" outlineLevel="0" collapsed="false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customFormat="false" ht="15.75" hidden="false" customHeight="false" outlineLevel="0" collapsed="false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customFormat="false" ht="15.75" hidden="false" customHeight="false" outlineLevel="0" collapsed="false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customFormat="false" ht="15.75" hidden="false" customHeight="false" outlineLevel="0" collapsed="false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customFormat="false" ht="15.75" hidden="false" customHeight="false" outlineLevel="0" collapsed="false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customFormat="false" ht="15.75" hidden="false" customHeight="false" outlineLevel="0" collapsed="false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customFormat="false" ht="15.75" hidden="false" customHeight="false" outlineLevel="0" collapsed="false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customFormat="false" ht="15.75" hidden="false" customHeight="false" outlineLevel="0" collapsed="false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customFormat="false" ht="15.75" hidden="false" customHeight="false" outlineLevel="0" collapsed="false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customFormat="false" ht="15.75" hidden="false" customHeight="false" outlineLevel="0" collapsed="false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customFormat="false" ht="15.75" hidden="false" customHeight="false" outlineLevel="0" collapsed="false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customFormat="false" ht="15.75" hidden="false" customHeight="false" outlineLevel="0" collapsed="false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customFormat="false" ht="15.75" hidden="false" customHeight="false" outlineLevel="0" collapsed="false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customFormat="false" ht="15.75" hidden="false" customHeight="false" outlineLevel="0" collapsed="false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customFormat="false" ht="15.75" hidden="false" customHeight="false" outlineLevel="0" collapsed="false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customFormat="false" ht="15.75" hidden="false" customHeight="false" outlineLevel="0" collapsed="false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customFormat="false" ht="15.75" hidden="false" customHeight="false" outlineLevel="0" collapsed="false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customFormat="false" ht="15.75" hidden="false" customHeight="false" outlineLevel="0" collapsed="false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customFormat="false" ht="15.75" hidden="false" customHeight="false" outlineLevel="0" collapsed="false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customFormat="false" ht="15.75" hidden="false" customHeight="false" outlineLevel="0" collapsed="false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customFormat="false" ht="15.75" hidden="false" customHeight="false" outlineLevel="0" collapsed="false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customFormat="false" ht="15.75" hidden="false" customHeight="false" outlineLevel="0" collapsed="false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customFormat="false" ht="15.75" hidden="false" customHeight="false" outlineLevel="0" collapsed="false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customFormat="false" ht="15.75" hidden="false" customHeight="false" outlineLevel="0" collapsed="false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customFormat="false" ht="15.75" hidden="false" customHeight="false" outlineLevel="0" collapsed="false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customFormat="false" ht="15.75" hidden="false" customHeight="false" outlineLevel="0" collapsed="false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customFormat="false" ht="15.75" hidden="false" customHeight="false" outlineLevel="0" collapsed="false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customFormat="false" ht="15.75" hidden="false" customHeight="false" outlineLevel="0" collapsed="false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customFormat="false" ht="15.75" hidden="false" customHeight="false" outlineLevel="0" collapsed="false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customFormat="false" ht="15.75" hidden="false" customHeight="false" outlineLevel="0" collapsed="false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customFormat="false" ht="15.75" hidden="false" customHeight="false" outlineLevel="0" collapsed="false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customFormat="false" ht="15.75" hidden="false" customHeight="false" outlineLevel="0" collapsed="false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customFormat="false" ht="15.75" hidden="false" customHeight="false" outlineLevel="0" collapsed="false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customFormat="false" ht="15.75" hidden="false" customHeight="false" outlineLevel="0" collapsed="false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customFormat="false" ht="15.75" hidden="false" customHeight="false" outlineLevel="0" collapsed="false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customFormat="false" ht="15.75" hidden="false" customHeight="false" outlineLevel="0" collapsed="false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customFormat="false" ht="15.75" hidden="false" customHeight="false" outlineLevel="0" collapsed="false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customFormat="false" ht="15.75" hidden="false" customHeight="false" outlineLevel="0" collapsed="false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customFormat="false" ht="15.75" hidden="false" customHeight="false" outlineLevel="0" collapsed="false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customFormat="false" ht="15.75" hidden="false" customHeight="false" outlineLevel="0" collapsed="false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customFormat="false" ht="15.75" hidden="false" customHeight="false" outlineLevel="0" collapsed="false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customFormat="false" ht="15.75" hidden="false" customHeight="false" outlineLevel="0" collapsed="false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customFormat="false" ht="15.75" hidden="false" customHeight="false" outlineLevel="0" collapsed="false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customFormat="false" ht="15.75" hidden="false" customHeight="false" outlineLevel="0" collapsed="false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customFormat="false" ht="15.75" hidden="false" customHeight="false" outlineLevel="0" collapsed="false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customFormat="false" ht="15.75" hidden="false" customHeight="false" outlineLevel="0" collapsed="false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customFormat="false" ht="15.75" hidden="false" customHeight="false" outlineLevel="0" collapsed="false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customFormat="false" ht="15.75" hidden="false" customHeight="false" outlineLevel="0" collapsed="false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customFormat="false" ht="15.75" hidden="false" customHeight="false" outlineLevel="0" collapsed="false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customFormat="false" ht="15.75" hidden="false" customHeight="false" outlineLevel="0" collapsed="false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customFormat="false" ht="15.75" hidden="false" customHeight="false" outlineLevel="0" collapsed="false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customFormat="false" ht="15.75" hidden="false" customHeight="false" outlineLevel="0" collapsed="false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customFormat="false" ht="15.75" hidden="false" customHeight="false" outlineLevel="0" collapsed="false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customFormat="false" ht="15.75" hidden="false" customHeight="false" outlineLevel="0" collapsed="false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customFormat="false" ht="15.75" hidden="false" customHeight="false" outlineLevel="0" collapsed="false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customFormat="false" ht="15.75" hidden="false" customHeight="false" outlineLevel="0" collapsed="false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customFormat="false" ht="15.75" hidden="false" customHeight="false" outlineLevel="0" collapsed="false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customFormat="false" ht="15.75" hidden="false" customHeight="false" outlineLevel="0" collapsed="false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customFormat="false" ht="15.75" hidden="false" customHeight="false" outlineLevel="0" collapsed="false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customFormat="false" ht="15.75" hidden="false" customHeight="false" outlineLevel="0" collapsed="false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customFormat="false" ht="15.75" hidden="false" customHeight="false" outlineLevel="0" collapsed="false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customFormat="false" ht="15.75" hidden="false" customHeight="false" outlineLevel="0" collapsed="false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customFormat="false" ht="15.75" hidden="false" customHeight="false" outlineLevel="0" collapsed="false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customFormat="false" ht="15.75" hidden="false" customHeight="false" outlineLevel="0" collapsed="false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customFormat="false" ht="15.75" hidden="false" customHeight="false" outlineLevel="0" collapsed="false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customFormat="false" ht="15.75" hidden="false" customHeight="false" outlineLevel="0" collapsed="false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customFormat="false" ht="15.75" hidden="false" customHeight="false" outlineLevel="0" collapsed="false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customFormat="false" ht="15.75" hidden="false" customHeight="false" outlineLevel="0" collapsed="false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customFormat="false" ht="15.75" hidden="false" customHeight="false" outlineLevel="0" collapsed="false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customFormat="false" ht="15.75" hidden="false" customHeight="false" outlineLevel="0" collapsed="false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customFormat="false" ht="15.75" hidden="false" customHeight="false" outlineLevel="0" collapsed="false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customFormat="false" ht="15.75" hidden="false" customHeight="false" outlineLevel="0" collapsed="false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customFormat="false" ht="15.75" hidden="false" customHeight="false" outlineLevel="0" collapsed="false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customFormat="false" ht="15.75" hidden="false" customHeight="false" outlineLevel="0" collapsed="false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customFormat="false" ht="15.75" hidden="false" customHeight="false" outlineLevel="0" collapsed="false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customFormat="false" ht="15.75" hidden="false" customHeight="false" outlineLevel="0" collapsed="false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customFormat="false" ht="15.75" hidden="false" customHeight="false" outlineLevel="0" collapsed="false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customFormat="false" ht="15.75" hidden="false" customHeight="false" outlineLevel="0" collapsed="false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customFormat="false" ht="15.75" hidden="false" customHeight="false" outlineLevel="0" collapsed="false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customFormat="false" ht="15.75" hidden="false" customHeight="false" outlineLevel="0" collapsed="false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customFormat="false" ht="15.75" hidden="false" customHeight="false" outlineLevel="0" collapsed="false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customFormat="false" ht="15.75" hidden="false" customHeight="false" outlineLevel="0" collapsed="false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customFormat="false" ht="15.75" hidden="false" customHeight="false" outlineLevel="0" collapsed="false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customFormat="false" ht="15.75" hidden="false" customHeight="false" outlineLevel="0" collapsed="false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customFormat="false" ht="15.75" hidden="false" customHeight="false" outlineLevel="0" collapsed="false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customFormat="false" ht="15.75" hidden="false" customHeight="false" outlineLevel="0" collapsed="false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customFormat="false" ht="15.75" hidden="false" customHeight="false" outlineLevel="0" collapsed="false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customFormat="false" ht="15.75" hidden="false" customHeight="false" outlineLevel="0" collapsed="false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customFormat="false" ht="15.75" hidden="false" customHeight="false" outlineLevel="0" collapsed="false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customFormat="false" ht="15.75" hidden="false" customHeight="false" outlineLevel="0" collapsed="false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customFormat="false" ht="15.75" hidden="false" customHeight="false" outlineLevel="0" collapsed="false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customFormat="false" ht="15.75" hidden="false" customHeight="false" outlineLevel="0" collapsed="false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customFormat="false" ht="15.75" hidden="false" customHeight="false" outlineLevel="0" collapsed="false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customFormat="false" ht="15.75" hidden="false" customHeight="false" outlineLevel="0" collapsed="false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customFormat="false" ht="15.75" hidden="false" customHeight="false" outlineLevel="0" collapsed="false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customFormat="false" ht="15.75" hidden="false" customHeight="false" outlineLevel="0" collapsed="false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customFormat="false" ht="15.75" hidden="false" customHeight="false" outlineLevel="0" collapsed="false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customFormat="false" ht="15.75" hidden="false" customHeight="false" outlineLevel="0" collapsed="false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customFormat="false" ht="15.75" hidden="false" customHeight="false" outlineLevel="0" collapsed="false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customFormat="false" ht="15.75" hidden="false" customHeight="false" outlineLevel="0" collapsed="false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customFormat="false" ht="15.75" hidden="false" customHeight="false" outlineLevel="0" collapsed="false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customFormat="false" ht="15.75" hidden="false" customHeight="false" outlineLevel="0" collapsed="false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customFormat="false" ht="15.75" hidden="false" customHeight="false" outlineLevel="0" collapsed="false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customFormat="false" ht="15.75" hidden="false" customHeight="false" outlineLevel="0" collapsed="false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customFormat="false" ht="15.75" hidden="false" customHeight="false" outlineLevel="0" collapsed="false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customFormat="false" ht="15.75" hidden="false" customHeight="false" outlineLevel="0" collapsed="false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customFormat="false" ht="15.75" hidden="false" customHeight="false" outlineLevel="0" collapsed="false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customFormat="false" ht="15.75" hidden="false" customHeight="false" outlineLevel="0" collapsed="false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customFormat="false" ht="15.75" hidden="false" customHeight="false" outlineLevel="0" collapsed="false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customFormat="false" ht="15.75" hidden="false" customHeight="false" outlineLevel="0" collapsed="false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customFormat="false" ht="15.75" hidden="false" customHeight="false" outlineLevel="0" collapsed="false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customFormat="false" ht="15.75" hidden="false" customHeight="false" outlineLevel="0" collapsed="false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customFormat="false" ht="15.75" hidden="false" customHeight="false" outlineLevel="0" collapsed="false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customFormat="false" ht="15.75" hidden="false" customHeight="false" outlineLevel="0" collapsed="false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customFormat="false" ht="15.75" hidden="false" customHeight="false" outlineLevel="0" collapsed="false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customFormat="false" ht="15.75" hidden="false" customHeight="false" outlineLevel="0" collapsed="false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customFormat="false" ht="15.75" hidden="false" customHeight="false" outlineLevel="0" collapsed="false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customFormat="false" ht="15.75" hidden="false" customHeight="false" outlineLevel="0" collapsed="false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customFormat="false" ht="15.75" hidden="false" customHeight="false" outlineLevel="0" collapsed="false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customFormat="false" ht="15.75" hidden="false" customHeight="false" outlineLevel="0" collapsed="false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customFormat="false" ht="15.75" hidden="false" customHeight="false" outlineLevel="0" collapsed="false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customFormat="false" ht="15.75" hidden="false" customHeight="false" outlineLevel="0" collapsed="false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customFormat="false" ht="15.75" hidden="false" customHeight="false" outlineLevel="0" collapsed="false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customFormat="false" ht="15.75" hidden="false" customHeight="false" outlineLevel="0" collapsed="false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customFormat="false" ht="15.75" hidden="false" customHeight="false" outlineLevel="0" collapsed="false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customFormat="false" ht="15.75" hidden="false" customHeight="false" outlineLevel="0" collapsed="false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customFormat="false" ht="15.75" hidden="false" customHeight="false" outlineLevel="0" collapsed="false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customFormat="false" ht="15.75" hidden="false" customHeight="false" outlineLevel="0" collapsed="false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customFormat="false" ht="15.75" hidden="false" customHeight="false" outlineLevel="0" collapsed="false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customFormat="false" ht="15.75" hidden="false" customHeight="false" outlineLevel="0" collapsed="false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customFormat="false" ht="15.75" hidden="false" customHeight="false" outlineLevel="0" collapsed="false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customFormat="false" ht="15.75" hidden="false" customHeight="false" outlineLevel="0" collapsed="false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customFormat="false" ht="15.75" hidden="false" customHeight="false" outlineLevel="0" collapsed="false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customFormat="false" ht="15.75" hidden="false" customHeight="false" outlineLevel="0" collapsed="false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customFormat="false" ht="15.75" hidden="false" customHeight="false" outlineLevel="0" collapsed="false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customFormat="false" ht="15.75" hidden="false" customHeight="false" outlineLevel="0" collapsed="false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customFormat="false" ht="15.75" hidden="false" customHeight="false" outlineLevel="0" collapsed="false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customFormat="false" ht="15.75" hidden="false" customHeight="false" outlineLevel="0" collapsed="false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customFormat="false" ht="15.75" hidden="false" customHeight="false" outlineLevel="0" collapsed="false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customFormat="false" ht="15.75" hidden="false" customHeight="false" outlineLevel="0" collapsed="false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customFormat="false" ht="15.75" hidden="false" customHeight="false" outlineLevel="0" collapsed="false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customFormat="false" ht="15.75" hidden="false" customHeight="false" outlineLevel="0" collapsed="false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customFormat="false" ht="15.75" hidden="false" customHeight="false" outlineLevel="0" collapsed="false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customFormat="false" ht="15.75" hidden="false" customHeight="false" outlineLevel="0" collapsed="false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customFormat="false" ht="15.75" hidden="false" customHeight="false" outlineLevel="0" collapsed="false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customFormat="false" ht="15.75" hidden="false" customHeight="false" outlineLevel="0" collapsed="false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customFormat="false" ht="15.75" hidden="false" customHeight="false" outlineLevel="0" collapsed="false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6">
    <mergeCell ref="A1:I1"/>
    <mergeCell ref="A3:A4"/>
    <mergeCell ref="B3:C3"/>
    <mergeCell ref="D3:E3"/>
    <mergeCell ref="F3:G3"/>
    <mergeCell ref="H3:I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